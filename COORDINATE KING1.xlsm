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arg\Downloads\"/>
    </mc:Choice>
  </mc:AlternateContent>
  <xr:revisionPtr revIDLastSave="0" documentId="8_{F5C0B916-63D6-436C-B2AB-0BA8AD6BA29B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GrCircle" sheetId="8" r:id="rId1"/>
    <sheet name="to UTM" sheetId="1" r:id="rId2"/>
    <sheet name="from UTM" sheetId="4" r:id="rId3"/>
    <sheet name="Error" sheetId="5" state="hidden" r:id="rId4"/>
    <sheet name="DMS-DD" sheetId="11" r:id="rId5"/>
    <sheet name="Projections" sheetId="7" r:id="rId6"/>
    <sheet name="Sun" sheetId="9" r:id="rId7"/>
    <sheet name="BulkProjections" sheetId="10" r:id="rId8"/>
    <sheet name="Constants" sheetId="3" state="hidden" r:id="rId9"/>
  </sheets>
  <definedNames>
    <definedName name="a">Constants!$C$2</definedName>
    <definedName name="b">Constants!$C$3</definedName>
    <definedName name="Co">'from UTM'!#REF!</definedName>
    <definedName name="D">'from UTM'!#REF!</definedName>
    <definedName name="e">Constants!$C$6</definedName>
    <definedName name="e_sqrt">Constants!$C$13</definedName>
    <definedName name="eone">Constants!$C$12</definedName>
    <definedName name="ep">Constants!$C$7</definedName>
    <definedName name="eprime">Constants!$C$7</definedName>
    <definedName name="f">Constants!$C$4</definedName>
    <definedName name="FE">Constants!$C$10</definedName>
    <definedName name="FN">Constants!$C$9</definedName>
    <definedName name="grid">#REF!</definedName>
    <definedName name="k">Constants!$C$11</definedName>
    <definedName name="lat">'to UTM'!$A$2</definedName>
    <definedName name="lat_DD">'to UTM'!$A$2</definedName>
    <definedName name="lat_r">'to UTM'!#REF!</definedName>
    <definedName name="lng">'to UTM'!$B$2</definedName>
    <definedName name="lng_r">'to UTM'!#REF!</definedName>
    <definedName name="M">'to UTM'!#REF!</definedName>
    <definedName name="T">'to UTM'!#REF!</definedName>
    <definedName name="To">'from UTM'!#REF!</definedName>
    <definedName name="v">'to UTM'!#REF!</definedName>
    <definedName name="Zones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8" l="1"/>
  <c r="G4" i="11"/>
  <c r="H4" i="11"/>
  <c r="H3" i="11"/>
  <c r="G3" i="11"/>
  <c r="C4" i="3"/>
  <c r="C5" i="3"/>
  <c r="C6" i="3"/>
  <c r="C12" i="3"/>
  <c r="C17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B18" i="3"/>
  <c r="C18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H18" i="3"/>
  <c r="H19" i="3"/>
  <c r="H20" i="3"/>
  <c r="H21" i="3"/>
  <c r="H22" i="3"/>
  <c r="H23" i="3"/>
  <c r="H24" i="3"/>
  <c r="H25" i="3"/>
  <c r="H26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F2" i="10"/>
  <c r="AI2" i="10"/>
  <c r="AJ2" i="10"/>
  <c r="F3" i="10"/>
  <c r="T3" i="10"/>
  <c r="R3" i="10"/>
  <c r="AI3" i="10"/>
  <c r="AJ3" i="10"/>
  <c r="F4" i="10"/>
  <c r="W4" i="10"/>
  <c r="Z4" i="10"/>
  <c r="AD4" i="10" s="1"/>
  <c r="AI4" i="10"/>
  <c r="AJ4" i="10"/>
  <c r="F5" i="10"/>
  <c r="E5" i="10"/>
  <c r="T5" i="10"/>
  <c r="V5" i="10"/>
  <c r="AI5" i="10"/>
  <c r="AJ5" i="10"/>
  <c r="F6" i="10"/>
  <c r="G6" i="10"/>
  <c r="O6" i="10"/>
  <c r="P6" i="10"/>
  <c r="W6" i="10"/>
  <c r="Z6" i="10"/>
  <c r="AD6" i="10" s="1"/>
  <c r="AI6" i="10"/>
  <c r="AJ6" i="10"/>
  <c r="F7" i="10"/>
  <c r="E7" i="10"/>
  <c r="V7" i="10"/>
  <c r="X7" i="10"/>
  <c r="AI7" i="10"/>
  <c r="AJ7" i="10"/>
  <c r="F8" i="10"/>
  <c r="M8" i="10"/>
  <c r="AI8" i="10"/>
  <c r="AJ8" i="10"/>
  <c r="F9" i="10"/>
  <c r="AI9" i="10"/>
  <c r="AJ9" i="10"/>
  <c r="F10" i="10"/>
  <c r="G10" i="10"/>
  <c r="N10" i="10"/>
  <c r="O10" i="10"/>
  <c r="S10" i="10"/>
  <c r="W10" i="10"/>
  <c r="Z10" i="10"/>
  <c r="AC10" i="10"/>
  <c r="AI10" i="10"/>
  <c r="AJ10" i="10"/>
  <c r="F11" i="10"/>
  <c r="AI11" i="10"/>
  <c r="AJ11" i="10"/>
  <c r="F12" i="10"/>
  <c r="J12" i="10"/>
  <c r="G12" i="10"/>
  <c r="F13" i="10"/>
  <c r="L13" i="10"/>
  <c r="AI13" i="10"/>
  <c r="AJ13" i="10"/>
  <c r="F14" i="10"/>
  <c r="J14" i="10"/>
  <c r="F15" i="10"/>
  <c r="L15" i="10"/>
  <c r="R15" i="10"/>
  <c r="T15" i="10"/>
  <c r="AI15" i="10"/>
  <c r="AJ15" i="10"/>
  <c r="F16" i="10"/>
  <c r="K16" i="10"/>
  <c r="T16" i="10"/>
  <c r="Z16" i="10"/>
  <c r="AC16" i="10" s="1"/>
  <c r="AI16" i="10"/>
  <c r="AJ16" i="10"/>
  <c r="F17" i="10"/>
  <c r="AI17" i="10"/>
  <c r="AJ17" i="10"/>
  <c r="F18" i="10"/>
  <c r="I18" i="10"/>
  <c r="Y18" i="10"/>
  <c r="AI18" i="10"/>
  <c r="AJ18" i="10"/>
  <c r="F19" i="10"/>
  <c r="T19" i="10"/>
  <c r="N19" i="10"/>
  <c r="H19" i="10"/>
  <c r="AI19" i="10"/>
  <c r="AJ19" i="10"/>
  <c r="F20" i="10"/>
  <c r="J20" i="10"/>
  <c r="Q20" i="10"/>
  <c r="AI20" i="10"/>
  <c r="AJ20" i="10"/>
  <c r="F21" i="10"/>
  <c r="L21" i="10"/>
  <c r="T21" i="10"/>
  <c r="AI21" i="10"/>
  <c r="AJ21" i="10"/>
  <c r="F22" i="10"/>
  <c r="I22" i="10"/>
  <c r="K22" i="10"/>
  <c r="M22" i="10"/>
  <c r="O22" i="10"/>
  <c r="U22" i="10"/>
  <c r="V22" i="10"/>
  <c r="Z22" i="10"/>
  <c r="AI22" i="10"/>
  <c r="AJ22" i="10"/>
  <c r="F23" i="10"/>
  <c r="L23" i="10"/>
  <c r="H23" i="10"/>
  <c r="P23" i="10"/>
  <c r="R23" i="10"/>
  <c r="X23" i="10"/>
  <c r="AI23" i="10"/>
  <c r="AJ23" i="10"/>
  <c r="F24" i="10"/>
  <c r="AI24" i="10"/>
  <c r="AJ24" i="10"/>
  <c r="F25" i="10"/>
  <c r="AI25" i="10"/>
  <c r="AJ25" i="10"/>
  <c r="F26" i="10"/>
  <c r="J26" i="10"/>
  <c r="M26" i="10"/>
  <c r="Q26" i="10"/>
  <c r="U26" i="10"/>
  <c r="AI26" i="10"/>
  <c r="AJ26" i="10"/>
  <c r="F27" i="10"/>
  <c r="H27" i="10"/>
  <c r="L27" i="10"/>
  <c r="P27" i="10"/>
  <c r="T27" i="10"/>
  <c r="AI27" i="10"/>
  <c r="AJ27" i="10"/>
  <c r="F28" i="10"/>
  <c r="N28" i="10"/>
  <c r="S28" i="10"/>
  <c r="X28" i="10"/>
  <c r="AI28" i="10"/>
  <c r="AJ28" i="10"/>
  <c r="F29" i="10"/>
  <c r="AI29" i="10"/>
  <c r="AJ29" i="10"/>
  <c r="F30" i="10"/>
  <c r="AI30" i="10"/>
  <c r="AJ30" i="10"/>
  <c r="F31" i="10"/>
  <c r="H31" i="10"/>
  <c r="J31" i="10"/>
  <c r="L31" i="10"/>
  <c r="P31" i="10"/>
  <c r="R31" i="10"/>
  <c r="T31" i="10"/>
  <c r="X31" i="10"/>
  <c r="Z31" i="10"/>
  <c r="AI31" i="10"/>
  <c r="AJ31" i="10"/>
  <c r="F32" i="10"/>
  <c r="AI32" i="10"/>
  <c r="AJ32" i="10"/>
  <c r="F33" i="10"/>
  <c r="E33" i="10"/>
  <c r="H33" i="10"/>
  <c r="J33" i="10"/>
  <c r="L33" i="10"/>
  <c r="N33" i="10"/>
  <c r="T33" i="10"/>
  <c r="V33" i="10"/>
  <c r="Z33" i="10"/>
  <c r="AD33" i="10" s="1"/>
  <c r="AI33" i="10"/>
  <c r="AJ33" i="10"/>
  <c r="F34" i="10"/>
  <c r="E34" i="10"/>
  <c r="AF34" i="10" s="1"/>
  <c r="AE34" i="10"/>
  <c r="G34" i="10"/>
  <c r="I34" i="10"/>
  <c r="J34" i="10"/>
  <c r="M34" i="10"/>
  <c r="N34" i="10"/>
  <c r="O34" i="10"/>
  <c r="R34" i="10"/>
  <c r="S34" i="10"/>
  <c r="U34" i="10"/>
  <c r="W34" i="10"/>
  <c r="Y34" i="10"/>
  <c r="Z34" i="10"/>
  <c r="AC34" i="10" s="1"/>
  <c r="AI34" i="10"/>
  <c r="AJ34" i="10"/>
  <c r="F35" i="10"/>
  <c r="H35" i="10"/>
  <c r="P35" i="10"/>
  <c r="T35" i="10"/>
  <c r="X35" i="10"/>
  <c r="AI35" i="10"/>
  <c r="AJ35" i="10"/>
  <c r="F36" i="10"/>
  <c r="I36" i="10"/>
  <c r="O36" i="10"/>
  <c r="R36" i="10"/>
  <c r="Y36" i="10"/>
  <c r="Z36" i="10"/>
  <c r="AC36" i="10" s="1"/>
  <c r="AI36" i="10"/>
  <c r="AJ36" i="10"/>
  <c r="F37" i="10"/>
  <c r="P37" i="10"/>
  <c r="AI37" i="10"/>
  <c r="AJ37" i="10"/>
  <c r="F38" i="10"/>
  <c r="P38" i="10"/>
  <c r="K38" i="10"/>
  <c r="V38" i="10"/>
  <c r="AI38" i="10"/>
  <c r="AJ38" i="10"/>
  <c r="F39" i="10"/>
  <c r="R39" i="10"/>
  <c r="N39" i="10"/>
  <c r="Z39" i="10"/>
  <c r="AC39" i="10" s="1"/>
  <c r="AI39" i="10"/>
  <c r="AJ39" i="10"/>
  <c r="F40" i="10"/>
  <c r="H40" i="10"/>
  <c r="F41" i="10"/>
  <c r="Z41" i="10"/>
  <c r="AD41" i="10" s="1"/>
  <c r="L41" i="10"/>
  <c r="P41" i="10"/>
  <c r="AI41" i="10"/>
  <c r="AJ41" i="10"/>
  <c r="F42" i="10"/>
  <c r="H42" i="10"/>
  <c r="L42" i="10"/>
  <c r="P42" i="10"/>
  <c r="U42" i="10"/>
  <c r="V42" i="10"/>
  <c r="AI42" i="10"/>
  <c r="AJ42" i="10"/>
  <c r="F43" i="10"/>
  <c r="X43" i="10"/>
  <c r="AI43" i="10"/>
  <c r="AJ43" i="10"/>
  <c r="F44" i="10"/>
  <c r="J44" i="10"/>
  <c r="V44" i="10"/>
  <c r="AI44" i="10"/>
  <c r="AJ44" i="10"/>
  <c r="F45" i="10"/>
  <c r="H45" i="10"/>
  <c r="J45" i="10"/>
  <c r="L45" i="10"/>
  <c r="P45" i="10"/>
  <c r="T45" i="10"/>
  <c r="X45" i="10"/>
  <c r="Z45" i="10"/>
  <c r="AI45" i="10"/>
  <c r="AJ45" i="10"/>
  <c r="F46" i="10"/>
  <c r="H46" i="10"/>
  <c r="L46" i="10"/>
  <c r="S46" i="10"/>
  <c r="V46" i="10"/>
  <c r="W46" i="10"/>
  <c r="AI46" i="10"/>
  <c r="AJ46" i="10"/>
  <c r="F47" i="10"/>
  <c r="Z47" i="10"/>
  <c r="L47" i="10"/>
  <c r="N47" i="10"/>
  <c r="AI47" i="10"/>
  <c r="AJ47" i="10"/>
  <c r="F48" i="10"/>
  <c r="I48" i="10"/>
  <c r="J48" i="10"/>
  <c r="O48" i="10"/>
  <c r="Q48" i="10"/>
  <c r="S48" i="10"/>
  <c r="Y48" i="10"/>
  <c r="AB48" i="10" s="1"/>
  <c r="AG48" i="10"/>
  <c r="AI48" i="10"/>
  <c r="AJ48" i="10"/>
  <c r="F49" i="10"/>
  <c r="L49" i="10"/>
  <c r="P49" i="10"/>
  <c r="X49" i="10"/>
  <c r="AI49" i="10"/>
  <c r="AJ49" i="10"/>
  <c r="F50" i="10"/>
  <c r="G50" i="10"/>
  <c r="M50" i="10"/>
  <c r="Q50" i="10"/>
  <c r="R50" i="10"/>
  <c r="W50" i="10"/>
  <c r="Z50" i="10"/>
  <c r="AI50" i="10"/>
  <c r="AJ50" i="10"/>
  <c r="F51" i="10"/>
  <c r="AI51" i="10"/>
  <c r="AJ51" i="10"/>
  <c r="F52" i="10"/>
  <c r="AI52" i="10"/>
  <c r="AJ52" i="10"/>
  <c r="F53" i="10"/>
  <c r="E53" i="10"/>
  <c r="Z53" i="10"/>
  <c r="AI53" i="10"/>
  <c r="AJ53" i="10"/>
  <c r="F54" i="10"/>
  <c r="V54" i="10"/>
  <c r="H54" i="10"/>
  <c r="AI54" i="10"/>
  <c r="AJ54" i="10"/>
  <c r="F55" i="10"/>
  <c r="L55" i="10"/>
  <c r="R55" i="10"/>
  <c r="AI55" i="10"/>
  <c r="AJ55" i="10"/>
  <c r="F56" i="10"/>
  <c r="F57" i="10"/>
  <c r="Z57" i="10"/>
  <c r="AC57" i="10" s="1"/>
  <c r="AI57" i="10"/>
  <c r="AJ57" i="10"/>
  <c r="F58" i="10"/>
  <c r="E58" i="10" s="1"/>
  <c r="K58" i="10"/>
  <c r="N58" i="10"/>
  <c r="S58" i="10"/>
  <c r="X58" i="10"/>
  <c r="AI58" i="10"/>
  <c r="AJ58" i="10"/>
  <c r="F59" i="10"/>
  <c r="AI59" i="10"/>
  <c r="AJ59" i="10"/>
  <c r="F60" i="10"/>
  <c r="K60" i="10"/>
  <c r="Q60" i="10"/>
  <c r="R60" i="10"/>
  <c r="AI60" i="10"/>
  <c r="AJ60" i="10"/>
  <c r="F61" i="10"/>
  <c r="J61" i="10"/>
  <c r="AI61" i="10"/>
  <c r="AJ61" i="10"/>
  <c r="F62" i="10"/>
  <c r="E62" i="10"/>
  <c r="H62" i="10"/>
  <c r="N62" i="10"/>
  <c r="P62" i="10"/>
  <c r="R62" i="10"/>
  <c r="V62" i="10"/>
  <c r="X62" i="10"/>
  <c r="AG62" i="10"/>
  <c r="AI62" i="10"/>
  <c r="AJ62" i="10"/>
  <c r="F63" i="10"/>
  <c r="AI63" i="10"/>
  <c r="AJ63" i="10"/>
  <c r="F64" i="10"/>
  <c r="N64" i="10"/>
  <c r="R64" i="10"/>
  <c r="AI64" i="10"/>
  <c r="AJ64" i="10"/>
  <c r="F65" i="10"/>
  <c r="H65" i="10"/>
  <c r="J65" i="10"/>
  <c r="N65" i="10"/>
  <c r="T65" i="10"/>
  <c r="V65" i="10"/>
  <c r="AI65" i="10"/>
  <c r="AJ65" i="10"/>
  <c r="F66" i="10"/>
  <c r="G66" i="10"/>
  <c r="H66" i="10"/>
  <c r="J66" i="10"/>
  <c r="K66" i="10"/>
  <c r="L66" i="10"/>
  <c r="N66" i="10"/>
  <c r="O66" i="10"/>
  <c r="P66" i="10"/>
  <c r="R66" i="10"/>
  <c r="S66" i="10"/>
  <c r="T66" i="10"/>
  <c r="V66" i="10"/>
  <c r="W66" i="10"/>
  <c r="X66" i="10"/>
  <c r="Z66" i="10"/>
  <c r="AC66" i="10" s="1"/>
  <c r="AG66" i="10"/>
  <c r="AI66" i="10"/>
  <c r="AJ66" i="10"/>
  <c r="F67" i="10"/>
  <c r="J67" i="10"/>
  <c r="H67" i="10"/>
  <c r="L67" i="10"/>
  <c r="P67" i="10"/>
  <c r="T67" i="10"/>
  <c r="X67" i="10"/>
  <c r="AI67" i="10"/>
  <c r="AJ67" i="10"/>
  <c r="F68" i="10"/>
  <c r="AI68" i="10"/>
  <c r="AJ68" i="10"/>
  <c r="F69" i="10"/>
  <c r="AI69" i="10"/>
  <c r="AJ69" i="10"/>
  <c r="F70" i="10"/>
  <c r="AI70" i="10"/>
  <c r="AJ70" i="10"/>
  <c r="F71" i="10"/>
  <c r="H71" i="10"/>
  <c r="F72" i="10"/>
  <c r="M72" i="10"/>
  <c r="Q72" i="10"/>
  <c r="AI72" i="10"/>
  <c r="AJ72" i="10"/>
  <c r="F73" i="10"/>
  <c r="AI73" i="10"/>
  <c r="AJ73" i="10"/>
  <c r="F74" i="10"/>
  <c r="I74" i="10"/>
  <c r="K74" i="10"/>
  <c r="M74" i="10"/>
  <c r="Q74" i="10"/>
  <c r="R74" i="10"/>
  <c r="S74" i="10"/>
  <c r="W74" i="10"/>
  <c r="Y74" i="10"/>
  <c r="AA74" i="10"/>
  <c r="AG74" i="10"/>
  <c r="AI74" i="10"/>
  <c r="AJ74" i="10"/>
  <c r="F75" i="10"/>
  <c r="N75" i="10"/>
  <c r="P75" i="10"/>
  <c r="AI75" i="10"/>
  <c r="AJ75" i="10"/>
  <c r="F76" i="10"/>
  <c r="N76" i="10"/>
  <c r="AI76" i="10"/>
  <c r="AJ76" i="10"/>
  <c r="F77" i="10"/>
  <c r="R77" i="10"/>
  <c r="V77" i="10"/>
  <c r="AI77" i="10"/>
  <c r="AJ77" i="10"/>
  <c r="F78" i="10"/>
  <c r="I78" i="10"/>
  <c r="J78" i="10"/>
  <c r="R78" i="10"/>
  <c r="T78" i="10"/>
  <c r="AI78" i="10"/>
  <c r="AJ78" i="10"/>
  <c r="F79" i="10"/>
  <c r="AI79" i="10"/>
  <c r="AJ79" i="10"/>
  <c r="F80" i="10"/>
  <c r="K80" i="10"/>
  <c r="J80" i="10"/>
  <c r="Q80" i="10"/>
  <c r="R80" i="10"/>
  <c r="AI80" i="10"/>
  <c r="AJ80" i="10"/>
  <c r="F81" i="10"/>
  <c r="J81" i="10"/>
  <c r="AI81" i="10"/>
  <c r="AJ81" i="10"/>
  <c r="F82" i="10"/>
  <c r="G82" i="10"/>
  <c r="M82" i="10"/>
  <c r="S82" i="10"/>
  <c r="V82" i="10"/>
  <c r="AG82" i="10"/>
  <c r="AI82" i="10"/>
  <c r="AJ82" i="10"/>
  <c r="F83" i="10"/>
  <c r="N83" i="10"/>
  <c r="P83" i="10"/>
  <c r="X83" i="10"/>
  <c r="AI83" i="10"/>
  <c r="AJ83" i="10"/>
  <c r="F84" i="10"/>
  <c r="E84" i="10" s="1"/>
  <c r="AF84" i="10" s="1"/>
  <c r="H84" i="10"/>
  <c r="J84" i="10"/>
  <c r="L84" i="10"/>
  <c r="P84" i="10"/>
  <c r="R84" i="10"/>
  <c r="T84" i="10"/>
  <c r="X84" i="10"/>
  <c r="AG84" i="10"/>
  <c r="AI84" i="10"/>
  <c r="AJ84" i="10"/>
  <c r="F85" i="10"/>
  <c r="N85" i="10"/>
  <c r="H85" i="10"/>
  <c r="R85" i="10"/>
  <c r="V85" i="10"/>
  <c r="AI85" i="10"/>
  <c r="AJ85" i="10"/>
  <c r="F86" i="10"/>
  <c r="V86" i="10"/>
  <c r="AI86" i="10"/>
  <c r="AJ86" i="10"/>
  <c r="F87" i="10"/>
  <c r="V87" i="10"/>
  <c r="N87" i="10"/>
  <c r="AI87" i="10"/>
  <c r="AJ87" i="10"/>
  <c r="F88" i="10"/>
  <c r="E88" i="10" s="1"/>
  <c r="H88" i="10"/>
  <c r="I88" i="10"/>
  <c r="J88" i="10"/>
  <c r="L88" i="10"/>
  <c r="N88" i="10"/>
  <c r="P88" i="10"/>
  <c r="Q88" i="10"/>
  <c r="T88" i="10"/>
  <c r="U88" i="10"/>
  <c r="V88" i="10"/>
  <c r="Y88" i="10"/>
  <c r="AB88" i="10" s="1"/>
  <c r="AG88" i="10"/>
  <c r="AI88" i="10"/>
  <c r="AJ88" i="10"/>
  <c r="F89" i="10"/>
  <c r="J89" i="10"/>
  <c r="AI89" i="10"/>
  <c r="AJ89" i="10"/>
  <c r="F90" i="10"/>
  <c r="G90" i="10"/>
  <c r="K90" i="10"/>
  <c r="M90" i="10"/>
  <c r="N90" i="10"/>
  <c r="R90" i="10"/>
  <c r="S90" i="10"/>
  <c r="V90" i="10"/>
  <c r="Y90" i="10"/>
  <c r="AB90" i="10" s="1"/>
  <c r="Z90" i="10"/>
  <c r="AD90" i="10" s="1"/>
  <c r="AI90" i="10"/>
  <c r="AJ90" i="10"/>
  <c r="F91" i="10"/>
  <c r="N91" i="10"/>
  <c r="AI91" i="10"/>
  <c r="AJ91" i="10"/>
  <c r="F92" i="10"/>
  <c r="R92" i="10"/>
  <c r="V92" i="10"/>
  <c r="AI92" i="10"/>
  <c r="AJ92" i="10"/>
  <c r="F93" i="10"/>
  <c r="R93" i="10"/>
  <c r="V93" i="10"/>
  <c r="AI93" i="10"/>
  <c r="AJ93" i="10"/>
  <c r="F94" i="10"/>
  <c r="E94" i="10" s="1"/>
  <c r="AF94" i="10" s="1"/>
  <c r="I94" i="10"/>
  <c r="H94" i="10"/>
  <c r="L94" i="10"/>
  <c r="N94" i="10"/>
  <c r="T94" i="10"/>
  <c r="V94" i="10"/>
  <c r="X94" i="10"/>
  <c r="AI94" i="10"/>
  <c r="AJ94" i="10"/>
  <c r="F95" i="10"/>
  <c r="R95" i="10"/>
  <c r="AI95" i="10"/>
  <c r="AJ95" i="10"/>
  <c r="F96" i="10"/>
  <c r="AI96" i="10"/>
  <c r="AJ96" i="10"/>
  <c r="F97" i="10"/>
  <c r="F98" i="10"/>
  <c r="G98" i="10"/>
  <c r="I98" i="10"/>
  <c r="K98" i="10"/>
  <c r="M98" i="10"/>
  <c r="N98" i="10"/>
  <c r="Q98" i="10"/>
  <c r="R98" i="10"/>
  <c r="S98" i="10"/>
  <c r="V98" i="10"/>
  <c r="W98" i="10"/>
  <c r="Y98" i="10"/>
  <c r="AB98" i="10" s="1"/>
  <c r="AG98" i="10"/>
  <c r="AI98" i="10"/>
  <c r="AJ98" i="10"/>
  <c r="F99" i="10"/>
  <c r="J99" i="10"/>
  <c r="R99" i="10"/>
  <c r="Z99" i="10"/>
  <c r="AI99" i="10"/>
  <c r="AJ99" i="10"/>
  <c r="F100" i="10"/>
  <c r="J100" i="10"/>
  <c r="AI100" i="10"/>
  <c r="AJ100" i="10"/>
  <c r="F101" i="10"/>
  <c r="V101" i="10"/>
  <c r="Z101" i="10"/>
  <c r="AC101" i="10" s="1"/>
  <c r="AI101" i="10"/>
  <c r="AJ101" i="10"/>
  <c r="F102" i="10"/>
  <c r="J102" i="10"/>
  <c r="AI102" i="10"/>
  <c r="AJ102" i="10"/>
  <c r="F103" i="10"/>
  <c r="R103" i="10"/>
  <c r="AI103" i="10"/>
  <c r="AJ103" i="10"/>
  <c r="F104" i="10"/>
  <c r="E104" i="10"/>
  <c r="AF104" i="10"/>
  <c r="I104" i="10"/>
  <c r="J104" i="10"/>
  <c r="K104" i="10"/>
  <c r="N104" i="10"/>
  <c r="O104" i="10"/>
  <c r="Q104" i="10"/>
  <c r="S104" i="10"/>
  <c r="U104" i="10"/>
  <c r="V104" i="10"/>
  <c r="Y104" i="10"/>
  <c r="AA104" i="10" s="1"/>
  <c r="Z104" i="10"/>
  <c r="AG104" i="10"/>
  <c r="AI104" i="10"/>
  <c r="AJ104" i="10"/>
  <c r="F105" i="10"/>
  <c r="J105" i="10"/>
  <c r="L105" i="10"/>
  <c r="P105" i="10"/>
  <c r="V105" i="10"/>
  <c r="X105" i="10"/>
  <c r="AI105" i="10"/>
  <c r="AJ105" i="10"/>
  <c r="F106" i="10"/>
  <c r="E106" i="10"/>
  <c r="R106" i="10"/>
  <c r="U106" i="10"/>
  <c r="AI106" i="10"/>
  <c r="AJ106" i="10"/>
  <c r="F107" i="10"/>
  <c r="AI107" i="10"/>
  <c r="AJ107" i="10"/>
  <c r="F108" i="10"/>
  <c r="J108" i="10"/>
  <c r="N108" i="10"/>
  <c r="R108" i="10"/>
  <c r="V108" i="10"/>
  <c r="AI108" i="10"/>
  <c r="AJ108" i="10"/>
  <c r="F109" i="10"/>
  <c r="AI109" i="10"/>
  <c r="AJ109" i="10"/>
  <c r="F110" i="10"/>
  <c r="V110" i="10"/>
  <c r="AI110" i="10"/>
  <c r="AJ110" i="10"/>
  <c r="F111" i="10"/>
  <c r="R111" i="10"/>
  <c r="V111" i="10"/>
  <c r="AI111" i="10"/>
  <c r="AJ111" i="10"/>
  <c r="F112" i="10"/>
  <c r="J112" i="10"/>
  <c r="F113" i="10"/>
  <c r="H113" i="10"/>
  <c r="L113" i="10"/>
  <c r="N113" i="10"/>
  <c r="P113" i="10"/>
  <c r="T113" i="10"/>
  <c r="V113" i="10"/>
  <c r="X113" i="10"/>
  <c r="AI113" i="10"/>
  <c r="AJ113" i="10"/>
  <c r="F114" i="10"/>
  <c r="G114" i="10"/>
  <c r="U114" i="10"/>
  <c r="V114" i="10"/>
  <c r="AI114" i="10"/>
  <c r="AJ114" i="10"/>
  <c r="F115" i="10"/>
  <c r="R115" i="10"/>
  <c r="AI115" i="10"/>
  <c r="AJ115" i="10"/>
  <c r="F116" i="10"/>
  <c r="E116" i="10"/>
  <c r="J116" i="10"/>
  <c r="R116" i="10"/>
  <c r="T116" i="10"/>
  <c r="V116" i="10"/>
  <c r="AI116" i="10"/>
  <c r="AJ116" i="10"/>
  <c r="F117" i="10"/>
  <c r="AI117" i="10"/>
  <c r="AJ117" i="10"/>
  <c r="F118" i="10"/>
  <c r="J118" i="10"/>
  <c r="Z118" i="10"/>
  <c r="AI118" i="10"/>
  <c r="AJ118" i="10"/>
  <c r="F119" i="10"/>
  <c r="E119" i="10"/>
  <c r="I119" i="10"/>
  <c r="O119" i="10"/>
  <c r="S119" i="10"/>
  <c r="V119" i="10"/>
  <c r="AI119" i="10"/>
  <c r="AJ119" i="10"/>
  <c r="F120" i="10"/>
  <c r="P120" i="10"/>
  <c r="T120" i="10"/>
  <c r="AI120" i="10"/>
  <c r="AJ120" i="10"/>
  <c r="F121" i="10"/>
  <c r="K121" i="10"/>
  <c r="S121" i="10"/>
  <c r="AI121" i="10"/>
  <c r="AJ121" i="10"/>
  <c r="F122" i="10"/>
  <c r="AI122" i="10"/>
  <c r="AJ122" i="10"/>
  <c r="F123" i="10"/>
  <c r="J123" i="10"/>
  <c r="R123" i="10"/>
  <c r="AI123" i="10"/>
  <c r="AJ123" i="10"/>
  <c r="F124" i="10"/>
  <c r="E124" i="10"/>
  <c r="H124" i="10"/>
  <c r="J124" i="10"/>
  <c r="L124" i="10"/>
  <c r="P124" i="10"/>
  <c r="R124" i="10"/>
  <c r="T124" i="10"/>
  <c r="X124" i="10"/>
  <c r="Z124" i="10"/>
  <c r="AI124" i="10"/>
  <c r="AJ124" i="10"/>
  <c r="F125" i="10"/>
  <c r="I125" i="10"/>
  <c r="F126" i="10"/>
  <c r="N126" i="10"/>
  <c r="T126" i="10"/>
  <c r="AI126" i="10"/>
  <c r="AJ126" i="10"/>
  <c r="F127" i="10"/>
  <c r="I127" i="10"/>
  <c r="G127" i="10"/>
  <c r="Q127" i="10"/>
  <c r="V127" i="10"/>
  <c r="Z127" i="10"/>
  <c r="AI127" i="10"/>
  <c r="AJ127" i="10"/>
  <c r="F128" i="10"/>
  <c r="H128" i="10"/>
  <c r="L128" i="10"/>
  <c r="P128" i="10"/>
  <c r="R128" i="10"/>
  <c r="X128" i="10"/>
  <c r="Z128" i="10"/>
  <c r="AD128" i="10" s="1"/>
  <c r="AI128" i="10"/>
  <c r="AJ128" i="10"/>
  <c r="F129" i="10"/>
  <c r="AG129" i="10"/>
  <c r="AI129" i="10"/>
  <c r="AJ129" i="10"/>
  <c r="F130" i="10"/>
  <c r="E130" i="10"/>
  <c r="AE130" i="10"/>
  <c r="V130" i="10"/>
  <c r="Z130" i="10"/>
  <c r="AI130" i="10"/>
  <c r="AJ130" i="10"/>
  <c r="F131" i="10"/>
  <c r="AI131" i="10"/>
  <c r="AJ131" i="10"/>
  <c r="F132" i="10"/>
  <c r="E132" i="10"/>
  <c r="H132" i="10"/>
  <c r="J132" i="10"/>
  <c r="L132" i="10"/>
  <c r="N132" i="10"/>
  <c r="P132" i="10"/>
  <c r="R132" i="10"/>
  <c r="T132" i="10"/>
  <c r="V132" i="10"/>
  <c r="X132" i="10"/>
  <c r="Z132" i="10"/>
  <c r="AC132" i="10" s="1"/>
  <c r="AI132" i="10"/>
  <c r="AJ132" i="10"/>
  <c r="F133" i="10"/>
  <c r="O133" i="10"/>
  <c r="V133" i="10"/>
  <c r="Y133" i="10"/>
  <c r="AI133" i="10"/>
  <c r="AJ133" i="10"/>
  <c r="F134" i="10"/>
  <c r="AI134" i="10"/>
  <c r="AJ134" i="10"/>
  <c r="F135" i="10"/>
  <c r="AI135" i="10"/>
  <c r="AJ135" i="10"/>
  <c r="F136" i="10"/>
  <c r="AI136" i="10"/>
  <c r="AJ136" i="10"/>
  <c r="F137" i="10"/>
  <c r="E137" i="10"/>
  <c r="H137" i="10"/>
  <c r="J137" i="10"/>
  <c r="L137" i="10"/>
  <c r="P137" i="10"/>
  <c r="Q137" i="10"/>
  <c r="R137" i="10"/>
  <c r="V137" i="10"/>
  <c r="X137" i="10"/>
  <c r="AG137" i="10"/>
  <c r="AI137" i="10"/>
  <c r="AJ137" i="10"/>
  <c r="F138" i="10"/>
  <c r="R138" i="10"/>
  <c r="J138" i="10"/>
  <c r="L138" i="10"/>
  <c r="T138" i="10"/>
  <c r="Z138" i="10"/>
  <c r="AC138" i="10" s="1"/>
  <c r="AI138" i="10"/>
  <c r="AJ138" i="10"/>
  <c r="F139" i="10"/>
  <c r="K139" i="10"/>
  <c r="AI139" i="10"/>
  <c r="AJ139" i="10"/>
  <c r="F140" i="10"/>
  <c r="F141" i="10"/>
  <c r="G141" i="10"/>
  <c r="L141" i="10"/>
  <c r="U141" i="10"/>
  <c r="AI141" i="10"/>
  <c r="AJ141" i="10"/>
  <c r="F142" i="10"/>
  <c r="V142" i="10"/>
  <c r="AI142" i="10"/>
  <c r="AJ142" i="10"/>
  <c r="F143" i="10"/>
  <c r="E143" i="10" s="1"/>
  <c r="AE143" i="10" s="1"/>
  <c r="I143" i="10"/>
  <c r="L143" i="10"/>
  <c r="T143" i="10"/>
  <c r="V143" i="10"/>
  <c r="Y143" i="10"/>
  <c r="AI143" i="10"/>
  <c r="AJ143" i="10"/>
  <c r="F144" i="10"/>
  <c r="E144" i="10"/>
  <c r="AI144" i="10"/>
  <c r="AJ144" i="10"/>
  <c r="F145" i="10"/>
  <c r="H145" i="10"/>
  <c r="G145" i="10"/>
  <c r="L145" i="10"/>
  <c r="O145" i="10"/>
  <c r="R145" i="10"/>
  <c r="V145" i="10"/>
  <c r="Z145" i="10"/>
  <c r="AG145" i="10"/>
  <c r="AI145" i="10"/>
  <c r="AJ145" i="10"/>
  <c r="F146" i="10"/>
  <c r="N146" i="10"/>
  <c r="AI146" i="10"/>
  <c r="AJ146" i="10"/>
  <c r="F147" i="10"/>
  <c r="I147" i="10"/>
  <c r="AI147" i="10"/>
  <c r="AJ147" i="10"/>
  <c r="F148" i="10"/>
  <c r="X148" i="10"/>
  <c r="AI148" i="10"/>
  <c r="AJ148" i="10"/>
  <c r="F149" i="10"/>
  <c r="Q149" i="10"/>
  <c r="O149" i="10"/>
  <c r="Z149" i="10"/>
  <c r="AI149" i="10"/>
  <c r="AJ149" i="10"/>
  <c r="F150" i="10"/>
  <c r="AI150" i="10"/>
  <c r="AJ150" i="10"/>
  <c r="F151" i="10"/>
  <c r="V151" i="10"/>
  <c r="Z151" i="10"/>
  <c r="AC151" i="10" s="1"/>
  <c r="AI151" i="10"/>
  <c r="AJ151" i="10"/>
  <c r="F152" i="10"/>
  <c r="F153" i="10"/>
  <c r="G153" i="10"/>
  <c r="L153" i="10"/>
  <c r="M153" i="10"/>
  <c r="R153" i="10"/>
  <c r="U153" i="10"/>
  <c r="AG153" i="10"/>
  <c r="AI153" i="10"/>
  <c r="AJ153" i="10"/>
  <c r="F154" i="10"/>
  <c r="H154" i="10"/>
  <c r="AI154" i="10"/>
  <c r="AJ154" i="10"/>
  <c r="F155" i="10"/>
  <c r="Y155" i="10"/>
  <c r="AI155" i="10"/>
  <c r="AJ155" i="10"/>
  <c r="F156" i="10"/>
  <c r="Z156" i="10"/>
  <c r="T156" i="10"/>
  <c r="AI156" i="10"/>
  <c r="AJ156" i="10"/>
  <c r="F157" i="10"/>
  <c r="F158" i="10"/>
  <c r="H158" i="10"/>
  <c r="N158" i="10"/>
  <c r="T158" i="10"/>
  <c r="X158" i="10"/>
  <c r="AI158" i="10"/>
  <c r="AJ158" i="10"/>
  <c r="F159" i="10"/>
  <c r="E159" i="10"/>
  <c r="H159" i="10"/>
  <c r="J159" i="10"/>
  <c r="M159" i="10"/>
  <c r="P159" i="10"/>
  <c r="Q159" i="10"/>
  <c r="U159" i="10"/>
  <c r="V159" i="10"/>
  <c r="X159" i="10"/>
  <c r="AI159" i="10"/>
  <c r="AJ159" i="10"/>
  <c r="F160" i="10"/>
  <c r="L160" i="10"/>
  <c r="Z160" i="10"/>
  <c r="AI160" i="10"/>
  <c r="AJ160" i="10"/>
  <c r="F161" i="10"/>
  <c r="X161" i="10"/>
  <c r="E161" i="10"/>
  <c r="T161" i="10"/>
  <c r="AI161" i="10"/>
  <c r="AJ161" i="10"/>
  <c r="F162" i="10"/>
  <c r="AI162" i="10"/>
  <c r="AJ162" i="10"/>
  <c r="F163" i="10"/>
  <c r="E163" i="10" s="1"/>
  <c r="G163" i="10"/>
  <c r="H163" i="10"/>
  <c r="I163" i="10"/>
  <c r="J163" i="10"/>
  <c r="K163" i="10"/>
  <c r="L163" i="10"/>
  <c r="M163" i="10"/>
  <c r="N163" i="10"/>
  <c r="O163" i="10"/>
  <c r="P163" i="10"/>
  <c r="Q163" i="10"/>
  <c r="R163" i="10"/>
  <c r="S163" i="10"/>
  <c r="T163" i="10"/>
  <c r="U163" i="10"/>
  <c r="V163" i="10"/>
  <c r="W163" i="10"/>
  <c r="X163" i="10"/>
  <c r="Y163" i="10"/>
  <c r="Z163" i="10"/>
  <c r="AC163" i="10" s="1"/>
  <c r="AG163" i="10"/>
  <c r="AI163" i="10"/>
  <c r="AJ163" i="10"/>
  <c r="F164" i="10"/>
  <c r="AI164" i="10"/>
  <c r="AJ164" i="10"/>
  <c r="F165" i="10"/>
  <c r="M165" i="10"/>
  <c r="N165" i="10"/>
  <c r="V165" i="10"/>
  <c r="AI165" i="10"/>
  <c r="AJ165" i="10"/>
  <c r="F166" i="10"/>
  <c r="AI166" i="10"/>
  <c r="AJ166" i="10"/>
  <c r="F167" i="10"/>
  <c r="H167" i="10"/>
  <c r="F168" i="10"/>
  <c r="H168" i="10"/>
  <c r="AI168" i="10"/>
  <c r="AJ168" i="10"/>
  <c r="F169" i="10"/>
  <c r="L169" i="10"/>
  <c r="AI169" i="10"/>
  <c r="AJ169" i="10"/>
  <c r="F170" i="10"/>
  <c r="T170" i="10"/>
  <c r="Z170" i="10"/>
  <c r="AI170" i="10"/>
  <c r="AJ170" i="10"/>
  <c r="F171" i="10"/>
  <c r="H171" i="10"/>
  <c r="N171" i="10"/>
  <c r="AG171" i="10"/>
  <c r="AI171" i="10"/>
  <c r="AJ171" i="10"/>
  <c r="F172" i="10"/>
  <c r="E172" i="10"/>
  <c r="J172" i="10"/>
  <c r="L172" i="10"/>
  <c r="N172" i="10"/>
  <c r="T172" i="10"/>
  <c r="V172" i="10"/>
  <c r="Z172" i="10"/>
  <c r="AC172" i="10" s="1"/>
  <c r="AI172" i="10"/>
  <c r="AJ172" i="10"/>
  <c r="F173" i="10"/>
  <c r="I173" i="10"/>
  <c r="N173" i="10"/>
  <c r="Q173" i="10"/>
  <c r="V173" i="10"/>
  <c r="Y173" i="10"/>
  <c r="AI173" i="10"/>
  <c r="AJ173" i="10"/>
  <c r="F174" i="10"/>
  <c r="N174" i="10"/>
  <c r="P174" i="10"/>
  <c r="AI174" i="10"/>
  <c r="AJ174" i="10"/>
  <c r="F175" i="10"/>
  <c r="E175" i="10" s="1"/>
  <c r="H175" i="10"/>
  <c r="J175" i="10"/>
  <c r="K175" i="10"/>
  <c r="O175" i="10"/>
  <c r="P175" i="10"/>
  <c r="S175" i="10"/>
  <c r="V175" i="10"/>
  <c r="X175" i="10"/>
  <c r="Z175" i="10"/>
  <c r="AG175" i="10"/>
  <c r="AI175" i="10"/>
  <c r="AJ175" i="10"/>
  <c r="F176" i="10"/>
  <c r="AI176" i="10"/>
  <c r="AJ176" i="10"/>
  <c r="F177" i="10"/>
  <c r="J177" i="10"/>
  <c r="K177" i="10"/>
  <c r="N177" i="10"/>
  <c r="R177" i="10"/>
  <c r="S177" i="10"/>
  <c r="V177" i="10"/>
  <c r="Z177" i="10"/>
  <c r="AG177" i="10"/>
  <c r="AI177" i="10"/>
  <c r="AJ177" i="10"/>
  <c r="F178" i="10"/>
  <c r="AI178" i="10"/>
  <c r="AJ178" i="10"/>
  <c r="F179" i="10"/>
  <c r="K179" i="10"/>
  <c r="O179" i="10"/>
  <c r="Z179" i="10"/>
  <c r="AI179" i="10"/>
  <c r="AJ179" i="10"/>
  <c r="F180" i="10"/>
  <c r="H180" i="10"/>
  <c r="J180" i="10"/>
  <c r="L180" i="10"/>
  <c r="P180" i="10"/>
  <c r="R180" i="10"/>
  <c r="T180" i="10"/>
  <c r="X180" i="10"/>
  <c r="Z180" i="10"/>
  <c r="AI180" i="10"/>
  <c r="AJ180" i="10"/>
  <c r="F181" i="10"/>
  <c r="AI181" i="10"/>
  <c r="AJ181" i="10"/>
  <c r="F182" i="10"/>
  <c r="E182" i="10"/>
  <c r="N182" i="10"/>
  <c r="R182" i="10"/>
  <c r="Z182" i="10"/>
  <c r="AC182" i="10" s="1"/>
  <c r="AI182" i="10"/>
  <c r="AJ182" i="10"/>
  <c r="F183" i="10"/>
  <c r="F184" i="10"/>
  <c r="AI184" i="10"/>
  <c r="AJ184" i="10"/>
  <c r="F185" i="10"/>
  <c r="E185" i="10" s="1"/>
  <c r="AF185" i="10" s="1"/>
  <c r="H185" i="10"/>
  <c r="I185" i="10"/>
  <c r="M185" i="10"/>
  <c r="N185" i="10"/>
  <c r="P185" i="10"/>
  <c r="T185" i="10"/>
  <c r="U185" i="10"/>
  <c r="X185" i="10"/>
  <c r="AI185" i="10"/>
  <c r="AJ185" i="10"/>
  <c r="F186" i="10"/>
  <c r="L186" i="10"/>
  <c r="N186" i="10"/>
  <c r="X186" i="10"/>
  <c r="AI186" i="10"/>
  <c r="AJ186" i="10"/>
  <c r="F187" i="10"/>
  <c r="F188" i="10"/>
  <c r="AI188" i="10"/>
  <c r="AJ188" i="10"/>
  <c r="F189" i="10"/>
  <c r="F190" i="10"/>
  <c r="AI190" i="10"/>
  <c r="AJ190" i="10"/>
  <c r="F191" i="10"/>
  <c r="J191" i="10"/>
  <c r="AI191" i="10"/>
  <c r="AJ191" i="10"/>
  <c r="F192" i="10"/>
  <c r="R192" i="10"/>
  <c r="T192" i="10"/>
  <c r="AI192" i="10"/>
  <c r="AJ192" i="10"/>
  <c r="F193" i="10"/>
  <c r="V193" i="10"/>
  <c r="K193" i="10"/>
  <c r="O193" i="10"/>
  <c r="AI193" i="10"/>
  <c r="AJ193" i="10"/>
  <c r="F194" i="10"/>
  <c r="Z194" i="10"/>
  <c r="L194" i="10"/>
  <c r="N194" i="10"/>
  <c r="AI194" i="10"/>
  <c r="AJ194" i="10"/>
  <c r="F195" i="10"/>
  <c r="V195" i="10"/>
  <c r="AI195" i="10"/>
  <c r="AJ195" i="10"/>
  <c r="F196" i="10"/>
  <c r="E196" i="10"/>
  <c r="AE196" i="10"/>
  <c r="H196" i="10"/>
  <c r="L196" i="10"/>
  <c r="N196" i="10"/>
  <c r="V196" i="10"/>
  <c r="X196" i="10"/>
  <c r="AI196" i="10"/>
  <c r="AJ196" i="10"/>
  <c r="F197" i="10"/>
  <c r="Q197" i="10"/>
  <c r="V197" i="10"/>
  <c r="AI197" i="10"/>
  <c r="AJ197" i="10"/>
  <c r="F198" i="10"/>
  <c r="X198" i="10"/>
  <c r="AI198" i="10"/>
  <c r="AJ198" i="10"/>
  <c r="F199" i="10"/>
  <c r="K199" i="10"/>
  <c r="O199" i="10"/>
  <c r="X199" i="10"/>
  <c r="AI199" i="10"/>
  <c r="AJ199" i="10"/>
  <c r="F200" i="10"/>
  <c r="H200" i="10"/>
  <c r="F201" i="10"/>
  <c r="G201" i="10"/>
  <c r="N201" i="10"/>
  <c r="O201" i="10"/>
  <c r="V201" i="10"/>
  <c r="W201" i="10"/>
  <c r="AI201" i="10"/>
  <c r="AJ201" i="10"/>
  <c r="F202" i="10"/>
  <c r="H202" i="10"/>
  <c r="L202" i="10"/>
  <c r="N202" i="10"/>
  <c r="V202" i="10"/>
  <c r="AI202" i="10"/>
  <c r="AJ202" i="10"/>
  <c r="F203" i="10"/>
  <c r="H203" i="10"/>
  <c r="I203" i="10"/>
  <c r="M203" i="10"/>
  <c r="N203" i="10"/>
  <c r="P203" i="10"/>
  <c r="T203" i="10"/>
  <c r="U203" i="10"/>
  <c r="X203" i="10"/>
  <c r="AG203" i="10"/>
  <c r="AI203" i="10"/>
  <c r="AJ203" i="10"/>
  <c r="F204" i="10"/>
  <c r="J204" i="10"/>
  <c r="F205" i="10"/>
  <c r="AI205" i="10"/>
  <c r="AJ205" i="10"/>
  <c r="F206" i="10"/>
  <c r="L206" i="10"/>
  <c r="AI206" i="10"/>
  <c r="AJ206" i="10"/>
  <c r="F207" i="10"/>
  <c r="G207" i="10"/>
  <c r="K207" i="10"/>
  <c r="O207" i="10"/>
  <c r="S207" i="10"/>
  <c r="V207" i="10"/>
  <c r="AI207" i="10"/>
  <c r="AJ207" i="10"/>
  <c r="F208" i="10"/>
  <c r="J208" i="10"/>
  <c r="F209" i="10"/>
  <c r="I209" i="10"/>
  <c r="Q209" i="10"/>
  <c r="AI209" i="10"/>
  <c r="AJ209" i="10"/>
  <c r="F210" i="10"/>
  <c r="L210" i="10"/>
  <c r="N210" i="10"/>
  <c r="X210" i="10"/>
  <c r="AI210" i="10"/>
  <c r="AJ210" i="10"/>
  <c r="F211" i="10"/>
  <c r="J211" i="10"/>
  <c r="K211" i="10"/>
  <c r="Y211" i="10"/>
  <c r="AA211" i="10" s="1"/>
  <c r="AI211" i="10"/>
  <c r="AJ211" i="10"/>
  <c r="F212" i="10"/>
  <c r="AI212" i="10"/>
  <c r="AJ212" i="10"/>
  <c r="F213" i="10"/>
  <c r="G213" i="10"/>
  <c r="H213" i="10"/>
  <c r="I213" i="10"/>
  <c r="F214" i="10"/>
  <c r="E214" i="10"/>
  <c r="AF214" i="10"/>
  <c r="AI214" i="10"/>
  <c r="AJ214" i="10"/>
  <c r="F215" i="10"/>
  <c r="J215" i="10"/>
  <c r="AI215" i="10"/>
  <c r="AJ215" i="10"/>
  <c r="F216" i="10"/>
  <c r="AI216" i="10"/>
  <c r="AJ216" i="10"/>
  <c r="F217" i="10"/>
  <c r="G217" i="10"/>
  <c r="F218" i="10"/>
  <c r="V218" i="10"/>
  <c r="L218" i="10"/>
  <c r="N218" i="10"/>
  <c r="X218" i="10"/>
  <c r="AI218" i="10"/>
  <c r="AJ218" i="10"/>
  <c r="F219" i="10"/>
  <c r="J219" i="10"/>
  <c r="M219" i="10"/>
  <c r="Q219" i="10"/>
  <c r="W219" i="10"/>
  <c r="AI219" i="10"/>
  <c r="AJ219" i="10"/>
  <c r="F220" i="10"/>
  <c r="J220" i="10"/>
  <c r="L220" i="10"/>
  <c r="Z220" i="10"/>
  <c r="AC220" i="10" s="1"/>
  <c r="AI220" i="10"/>
  <c r="AJ220" i="10"/>
  <c r="F221" i="10"/>
  <c r="N221" i="10"/>
  <c r="AI221" i="10"/>
  <c r="AJ221" i="10"/>
  <c r="F222" i="10"/>
  <c r="F223" i="10"/>
  <c r="G223" i="10"/>
  <c r="I223" i="10"/>
  <c r="J223" i="10"/>
  <c r="L223" i="10"/>
  <c r="N223" i="10"/>
  <c r="P223" i="10"/>
  <c r="Q223" i="10"/>
  <c r="T223" i="10"/>
  <c r="U223" i="10"/>
  <c r="V223" i="10"/>
  <c r="Y223" i="10"/>
  <c r="AG223" i="10"/>
  <c r="AI223" i="10"/>
  <c r="AJ223" i="10"/>
  <c r="F224" i="10"/>
  <c r="AI224" i="10"/>
  <c r="AJ224" i="10"/>
  <c r="F225" i="10"/>
  <c r="G225" i="10"/>
  <c r="H225" i="10"/>
  <c r="J225" i="10"/>
  <c r="F226" i="10"/>
  <c r="Z226" i="10"/>
  <c r="AI226" i="10"/>
  <c r="AJ226" i="10"/>
  <c r="F227" i="10"/>
  <c r="L227" i="10"/>
  <c r="M227" i="10"/>
  <c r="V227" i="10"/>
  <c r="X227" i="10"/>
  <c r="AI227" i="10"/>
  <c r="AJ227" i="10"/>
  <c r="F228" i="10"/>
  <c r="E228" i="10"/>
  <c r="F229" i="10"/>
  <c r="G229" i="10"/>
  <c r="AI229" i="10"/>
  <c r="AJ229" i="10"/>
  <c r="F230" i="10"/>
  <c r="Z230" i="10"/>
  <c r="AI230" i="10"/>
  <c r="AJ230" i="10"/>
  <c r="F231" i="10"/>
  <c r="E231" i="10" s="1"/>
  <c r="G231" i="10"/>
  <c r="H231" i="10"/>
  <c r="I231" i="10"/>
  <c r="J231" i="10"/>
  <c r="F232" i="10"/>
  <c r="E232" i="10"/>
  <c r="H232" i="10"/>
  <c r="N232" i="10"/>
  <c r="P232" i="10"/>
  <c r="T232" i="10"/>
  <c r="X232" i="10"/>
  <c r="AI232" i="10"/>
  <c r="AJ232" i="10"/>
  <c r="F233" i="10"/>
  <c r="J233" i="10"/>
  <c r="L233" i="10"/>
  <c r="Q233" i="10"/>
  <c r="T233" i="10"/>
  <c r="AI233" i="10"/>
  <c r="AJ233" i="10"/>
  <c r="F234" i="10"/>
  <c r="E234" i="10"/>
  <c r="H234" i="10"/>
  <c r="J234" i="10"/>
  <c r="F235" i="10"/>
  <c r="V235" i="10"/>
  <c r="AI235" i="10"/>
  <c r="AJ235" i="10"/>
  <c r="F236" i="10"/>
  <c r="H236" i="10"/>
  <c r="J236" i="10"/>
  <c r="L236" i="10"/>
  <c r="P236" i="10"/>
  <c r="T236" i="10"/>
  <c r="X236" i="10"/>
  <c r="Z236" i="10"/>
  <c r="AI236" i="10"/>
  <c r="AJ236" i="10"/>
  <c r="F237" i="10"/>
  <c r="G237" i="10"/>
  <c r="N237" i="10"/>
  <c r="R237" i="10"/>
  <c r="V237" i="10"/>
  <c r="AI237" i="10"/>
  <c r="AJ237" i="10"/>
  <c r="F238" i="10"/>
  <c r="P238" i="10"/>
  <c r="AI238" i="10"/>
  <c r="AJ238" i="10"/>
  <c r="F239" i="10"/>
  <c r="L239" i="10"/>
  <c r="Q239" i="10"/>
  <c r="AI239" i="10"/>
  <c r="AJ239" i="10"/>
  <c r="F240" i="10"/>
  <c r="AI240" i="10"/>
  <c r="AJ240" i="10"/>
  <c r="F241" i="10"/>
  <c r="G241" i="10"/>
  <c r="K241" i="10"/>
  <c r="R241" i="10"/>
  <c r="V241" i="10"/>
  <c r="W241" i="10"/>
  <c r="AG241" i="10"/>
  <c r="AI241" i="10"/>
  <c r="AJ241" i="10"/>
  <c r="F242" i="10"/>
  <c r="AI242" i="10"/>
  <c r="AJ242" i="10"/>
  <c r="F243" i="10"/>
  <c r="G243" i="10"/>
  <c r="I243" i="10"/>
  <c r="J243" i="10"/>
  <c r="L243" i="10"/>
  <c r="N243" i="10"/>
  <c r="P243" i="10"/>
  <c r="Q243" i="10"/>
  <c r="T243" i="10"/>
  <c r="U243" i="10"/>
  <c r="V243" i="10"/>
  <c r="X243" i="10"/>
  <c r="Y243" i="10"/>
  <c r="AG243" i="10"/>
  <c r="AI243" i="10"/>
  <c r="AJ243" i="10"/>
  <c r="F244" i="10"/>
  <c r="AI244" i="10"/>
  <c r="AJ244" i="10"/>
  <c r="F245" i="10"/>
  <c r="J245" i="10"/>
  <c r="G245" i="10"/>
  <c r="I245" i="10"/>
  <c r="K245" i="10"/>
  <c r="O245" i="10"/>
  <c r="Q245" i="10"/>
  <c r="V245" i="10"/>
  <c r="Y245" i="10"/>
  <c r="AI245" i="10"/>
  <c r="AJ245" i="10"/>
  <c r="F246" i="10"/>
  <c r="Z246" i="10"/>
  <c r="L246" i="10"/>
  <c r="R246" i="10"/>
  <c r="AI246" i="10"/>
  <c r="AJ246" i="10"/>
  <c r="F247" i="10"/>
  <c r="AI247" i="10"/>
  <c r="AJ247" i="10"/>
  <c r="F248" i="10"/>
  <c r="J248" i="10"/>
  <c r="E248" i="10"/>
  <c r="AE248" i="10"/>
  <c r="H248" i="10"/>
  <c r="L248" i="10"/>
  <c r="P248" i="10"/>
  <c r="R248" i="10"/>
  <c r="X248" i="10"/>
  <c r="Z248" i="10"/>
  <c r="AI248" i="10"/>
  <c r="AJ248" i="10"/>
  <c r="F249" i="10"/>
  <c r="S249" i="10"/>
  <c r="AI249" i="10"/>
  <c r="AJ249" i="10"/>
  <c r="F250" i="10"/>
  <c r="E250" i="10"/>
  <c r="AF250" i="10"/>
  <c r="AI250" i="10"/>
  <c r="AJ250" i="10"/>
  <c r="F251" i="10"/>
  <c r="G251" i="10"/>
  <c r="F252" i="10"/>
  <c r="AI252" i="10"/>
  <c r="AJ252" i="10"/>
  <c r="F253" i="10"/>
  <c r="G253" i="10"/>
  <c r="AI253" i="10"/>
  <c r="AJ253" i="10"/>
  <c r="F254" i="10"/>
  <c r="J254" i="10"/>
  <c r="E254" i="10"/>
  <c r="H254" i="10"/>
  <c r="F255" i="10"/>
  <c r="G255" i="10"/>
  <c r="E255" i="10"/>
  <c r="J255" i="10"/>
  <c r="K255" i="10"/>
  <c r="O255" i="10"/>
  <c r="S255" i="10"/>
  <c r="W255" i="10"/>
  <c r="Z255" i="10"/>
  <c r="AC255" i="10" s="1"/>
  <c r="AI255" i="10"/>
  <c r="AJ255" i="10"/>
  <c r="F256" i="10"/>
  <c r="F257" i="10"/>
  <c r="P257" i="10"/>
  <c r="I257" i="10"/>
  <c r="J257" i="10"/>
  <c r="U257" i="10"/>
  <c r="AI257" i="10"/>
  <c r="AJ257" i="10"/>
  <c r="F258" i="10"/>
  <c r="N258" i="10"/>
  <c r="R258" i="10"/>
  <c r="AI258" i="10"/>
  <c r="AJ258" i="10"/>
  <c r="F259" i="10"/>
  <c r="AI259" i="10"/>
  <c r="AJ259" i="10"/>
  <c r="F260" i="10"/>
  <c r="H260" i="10"/>
  <c r="J260" i="10"/>
  <c r="F261" i="10"/>
  <c r="AI261" i="10"/>
  <c r="AJ261" i="10"/>
  <c r="F262" i="10"/>
  <c r="J262" i="10"/>
  <c r="P262" i="10"/>
  <c r="X262" i="10"/>
  <c r="AI262" i="10"/>
  <c r="AJ262" i="10"/>
  <c r="F263" i="10"/>
  <c r="G263" i="10"/>
  <c r="V263" i="10"/>
  <c r="AI263" i="10"/>
  <c r="AJ263" i="10"/>
  <c r="F264" i="10"/>
  <c r="H264" i="10"/>
  <c r="R264" i="10"/>
  <c r="Z264" i="10"/>
  <c r="AC264" i="10" s="1"/>
  <c r="AI264" i="10"/>
  <c r="AJ264" i="10"/>
  <c r="F265" i="10"/>
  <c r="E265" i="10" s="1"/>
  <c r="AF265" i="10" s="1"/>
  <c r="G265" i="10"/>
  <c r="H265" i="10"/>
  <c r="I265" i="10"/>
  <c r="J265" i="10"/>
  <c r="K265" i="10"/>
  <c r="L265" i="10"/>
  <c r="M265" i="10"/>
  <c r="N265" i="10"/>
  <c r="O265" i="10"/>
  <c r="P265" i="10"/>
  <c r="Q265" i="10"/>
  <c r="R265" i="10"/>
  <c r="S265" i="10"/>
  <c r="T265" i="10"/>
  <c r="U265" i="10"/>
  <c r="V265" i="10"/>
  <c r="W265" i="10"/>
  <c r="X265" i="10"/>
  <c r="Y265" i="10"/>
  <c r="Z265" i="10"/>
  <c r="AG265" i="10"/>
  <c r="AI265" i="10"/>
  <c r="AJ265" i="10"/>
  <c r="F266" i="10"/>
  <c r="L266" i="10"/>
  <c r="T266" i="10"/>
  <c r="V266" i="10"/>
  <c r="AI266" i="10"/>
  <c r="AJ266" i="10"/>
  <c r="F267" i="10"/>
  <c r="G267" i="10"/>
  <c r="F268" i="10"/>
  <c r="R268" i="10"/>
  <c r="V268" i="10"/>
  <c r="AI268" i="10"/>
  <c r="AJ268" i="10"/>
  <c r="F269" i="10"/>
  <c r="F270" i="10"/>
  <c r="AI270" i="10"/>
  <c r="AJ270" i="10"/>
  <c r="F271" i="10"/>
  <c r="K271" i="10"/>
  <c r="N271" i="10"/>
  <c r="S271" i="10"/>
  <c r="AI271" i="10"/>
  <c r="AJ271" i="10"/>
  <c r="F272" i="10"/>
  <c r="H272" i="10"/>
  <c r="R272" i="10"/>
  <c r="AI272" i="10"/>
  <c r="AJ272" i="10"/>
  <c r="F273" i="10"/>
  <c r="G273" i="10"/>
  <c r="R273" i="10"/>
  <c r="AI273" i="10"/>
  <c r="AJ273" i="10"/>
  <c r="F274" i="10"/>
  <c r="F275" i="10"/>
  <c r="G275" i="10"/>
  <c r="Q275" i="10"/>
  <c r="U275" i="10"/>
  <c r="AI275" i="10"/>
  <c r="AJ275" i="10"/>
  <c r="F276" i="10"/>
  <c r="H276" i="10"/>
  <c r="J276" i="10"/>
  <c r="L276" i="10"/>
  <c r="N276" i="10"/>
  <c r="R276" i="10"/>
  <c r="T276" i="10"/>
  <c r="V276" i="10"/>
  <c r="Z276" i="10"/>
  <c r="AD276" i="10" s="1"/>
  <c r="AI276" i="10"/>
  <c r="AJ276" i="10"/>
  <c r="F277" i="10"/>
  <c r="T277" i="10"/>
  <c r="AI277" i="10"/>
  <c r="AJ277" i="10"/>
  <c r="F278" i="10"/>
  <c r="R278" i="10"/>
  <c r="J278" i="10"/>
  <c r="H278" i="10"/>
  <c r="V278" i="10"/>
  <c r="AI278" i="10"/>
  <c r="AJ278" i="10"/>
  <c r="F279" i="10"/>
  <c r="N279" i="10"/>
  <c r="R279" i="10"/>
  <c r="AI279" i="10"/>
  <c r="AJ279" i="10"/>
  <c r="F280" i="10"/>
  <c r="F281" i="10"/>
  <c r="AI281" i="10"/>
  <c r="AJ281" i="10"/>
  <c r="F282" i="10"/>
  <c r="N282" i="10"/>
  <c r="AI282" i="10"/>
  <c r="AJ282" i="10"/>
  <c r="F283" i="10"/>
  <c r="F284" i="10"/>
  <c r="N284" i="10"/>
  <c r="R284" i="10"/>
  <c r="AI284" i="10"/>
  <c r="AJ284" i="10"/>
  <c r="F285" i="10"/>
  <c r="AG285" i="10"/>
  <c r="N285" i="10"/>
  <c r="V285" i="10"/>
  <c r="AI285" i="10"/>
  <c r="AJ285" i="10"/>
  <c r="F286" i="10"/>
  <c r="AI286" i="10"/>
  <c r="AJ286" i="10"/>
  <c r="F287" i="10"/>
  <c r="W287" i="10"/>
  <c r="G287" i="10"/>
  <c r="R287" i="10"/>
  <c r="AI287" i="10"/>
  <c r="AJ287" i="10"/>
  <c r="F288" i="10"/>
  <c r="F289" i="10"/>
  <c r="I289" i="10"/>
  <c r="J289" i="10"/>
  <c r="P289" i="10"/>
  <c r="T289" i="10"/>
  <c r="U289" i="10"/>
  <c r="AI289" i="10"/>
  <c r="AJ289" i="10"/>
  <c r="F290" i="10"/>
  <c r="N290" i="10"/>
  <c r="R290" i="10"/>
  <c r="AI290" i="10"/>
  <c r="AJ290" i="10"/>
  <c r="F291" i="10"/>
  <c r="AI291" i="10"/>
  <c r="AJ291" i="10"/>
  <c r="F292" i="10"/>
  <c r="H292" i="10"/>
  <c r="V292" i="10"/>
  <c r="X292" i="10"/>
  <c r="AI292" i="10"/>
  <c r="AJ292" i="10"/>
  <c r="F293" i="10"/>
  <c r="J293" i="10"/>
  <c r="T293" i="10"/>
  <c r="V293" i="10"/>
  <c r="AI293" i="10"/>
  <c r="AJ293" i="10"/>
  <c r="F294" i="10"/>
  <c r="AI294" i="10"/>
  <c r="AJ294" i="10"/>
  <c r="F295" i="10"/>
  <c r="G295" i="10"/>
  <c r="W295" i="10"/>
  <c r="Z295" i="10"/>
  <c r="AI295" i="10"/>
  <c r="AJ295" i="10"/>
  <c r="F296" i="10"/>
  <c r="AI296" i="10"/>
  <c r="AJ296" i="10"/>
  <c r="F297" i="10"/>
  <c r="AI297" i="10"/>
  <c r="AJ297" i="10"/>
  <c r="F298" i="10"/>
  <c r="AI298" i="10"/>
  <c r="AJ298" i="10"/>
  <c r="F299" i="10"/>
  <c r="G299" i="10"/>
  <c r="J299" i="10"/>
  <c r="F300" i="10"/>
  <c r="AI300" i="10"/>
  <c r="AJ300" i="10"/>
  <c r="F301" i="10"/>
  <c r="M301" i="10"/>
  <c r="I301" i="10"/>
  <c r="J301" i="10"/>
  <c r="N301" i="10"/>
  <c r="Q301" i="10"/>
  <c r="R301" i="10"/>
  <c r="U301" i="10"/>
  <c r="V301" i="10"/>
  <c r="Y301" i="10"/>
  <c r="AA301" i="10" s="1"/>
  <c r="AI301" i="10"/>
  <c r="AJ301" i="10"/>
  <c r="F302" i="10"/>
  <c r="H302" i="10"/>
  <c r="R302" i="10"/>
  <c r="AI302" i="10"/>
  <c r="AJ302" i="10"/>
  <c r="F303" i="10"/>
  <c r="E303" i="10" s="1"/>
  <c r="AE303" i="10" s="1"/>
  <c r="H303" i="10"/>
  <c r="J303" i="10"/>
  <c r="P303" i="10"/>
  <c r="Q303" i="10"/>
  <c r="V303" i="10"/>
  <c r="X303" i="10"/>
  <c r="AI303" i="10"/>
  <c r="AJ303" i="10"/>
  <c r="F304" i="10"/>
  <c r="H304" i="10"/>
  <c r="J304" i="10"/>
  <c r="L304" i="10"/>
  <c r="N304" i="10"/>
  <c r="R304" i="10"/>
  <c r="T304" i="10"/>
  <c r="V304" i="10"/>
  <c r="Z304" i="10"/>
  <c r="AI304" i="10"/>
  <c r="AJ304" i="10"/>
  <c r="F305" i="10"/>
  <c r="G305" i="10"/>
  <c r="J305" i="10"/>
  <c r="L305" i="10"/>
  <c r="P305" i="10"/>
  <c r="Q305" i="10"/>
  <c r="U305" i="10"/>
  <c r="V305" i="10"/>
  <c r="AG305" i="10"/>
  <c r="AI305" i="10"/>
  <c r="AJ305" i="10"/>
  <c r="F306" i="10"/>
  <c r="V306" i="10"/>
  <c r="AI306" i="10"/>
  <c r="AJ306" i="10"/>
  <c r="F307" i="10"/>
  <c r="O307" i="10"/>
  <c r="G307" i="10"/>
  <c r="N307" i="10"/>
  <c r="V307" i="10"/>
  <c r="W307" i="10"/>
  <c r="AI307" i="10"/>
  <c r="AJ307" i="10"/>
  <c r="F308" i="10"/>
  <c r="L308" i="10"/>
  <c r="H308" i="10"/>
  <c r="J308" i="10"/>
  <c r="N308" i="10"/>
  <c r="P308" i="10"/>
  <c r="R308" i="10"/>
  <c r="V308" i="10"/>
  <c r="X308" i="10"/>
  <c r="Z308" i="10"/>
  <c r="AI308" i="10"/>
  <c r="AJ308" i="10"/>
  <c r="F309" i="10"/>
  <c r="Q309" i="10"/>
  <c r="AG309" i="10"/>
  <c r="AI309" i="10"/>
  <c r="AJ309" i="10"/>
  <c r="F310" i="10"/>
  <c r="H310" i="10"/>
  <c r="J310" i="10"/>
  <c r="F311" i="10"/>
  <c r="V311" i="10"/>
  <c r="M311" i="10"/>
  <c r="N311" i="10"/>
  <c r="AI311" i="10"/>
  <c r="AJ311" i="10"/>
  <c r="F312" i="10"/>
  <c r="AI312" i="10"/>
  <c r="AJ312" i="10"/>
  <c r="F313" i="10"/>
  <c r="AI313" i="10"/>
  <c r="AJ313" i="10"/>
  <c r="F314" i="10"/>
  <c r="H314" i="10"/>
  <c r="AI314" i="10"/>
  <c r="AJ314" i="10"/>
  <c r="F315" i="10"/>
  <c r="K315" i="10"/>
  <c r="W315" i="10"/>
  <c r="AI315" i="10"/>
  <c r="AJ315" i="10"/>
  <c r="F316" i="10"/>
  <c r="R316" i="10"/>
  <c r="N316" i="10"/>
  <c r="AI316" i="10"/>
  <c r="AJ316" i="10"/>
  <c r="F317" i="10"/>
  <c r="I317" i="10"/>
  <c r="AI317" i="10"/>
  <c r="AJ317" i="10"/>
  <c r="F318" i="10"/>
  <c r="H318" i="10"/>
  <c r="J318" i="10"/>
  <c r="F319" i="10"/>
  <c r="AI319" i="10"/>
  <c r="AJ319" i="10"/>
  <c r="F320" i="10"/>
  <c r="J320" i="10"/>
  <c r="L320" i="10"/>
  <c r="H320" i="10"/>
  <c r="N320" i="10"/>
  <c r="P320" i="10"/>
  <c r="R320" i="10"/>
  <c r="X320" i="10"/>
  <c r="Z320" i="10"/>
  <c r="AI320" i="10"/>
  <c r="AJ320" i="10"/>
  <c r="F321" i="10"/>
  <c r="E321" i="10" s="1"/>
  <c r="I321" i="10"/>
  <c r="G321" i="10"/>
  <c r="H321" i="10"/>
  <c r="J321" i="10"/>
  <c r="K321" i="10"/>
  <c r="L321" i="10"/>
  <c r="N321" i="10"/>
  <c r="O321" i="10"/>
  <c r="P321" i="10"/>
  <c r="R321" i="10"/>
  <c r="S321" i="10"/>
  <c r="T321" i="10"/>
  <c r="V321" i="10"/>
  <c r="W321" i="10"/>
  <c r="X321" i="10"/>
  <c r="Z321" i="10"/>
  <c r="AC321" i="10" s="1"/>
  <c r="AG321" i="10"/>
  <c r="AI321" i="10"/>
  <c r="AJ321" i="10"/>
  <c r="F322" i="10"/>
  <c r="N322" i="10"/>
  <c r="V322" i="10"/>
  <c r="AI322" i="10"/>
  <c r="AJ322" i="10"/>
  <c r="F323" i="10"/>
  <c r="P323" i="10"/>
  <c r="J323" i="10"/>
  <c r="K323" i="10"/>
  <c r="T323" i="10"/>
  <c r="V323" i="10"/>
  <c r="AI323" i="10"/>
  <c r="AJ323" i="10"/>
  <c r="F324" i="10"/>
  <c r="Z324" i="10"/>
  <c r="AD324" i="10" s="1"/>
  <c r="N324" i="10"/>
  <c r="P324" i="10"/>
  <c r="AI324" i="10"/>
  <c r="AJ324" i="10"/>
  <c r="F325" i="10"/>
  <c r="E325" i="10" s="1"/>
  <c r="I325" i="10"/>
  <c r="J325" i="10"/>
  <c r="F326" i="10"/>
  <c r="AI326" i="10"/>
  <c r="AJ326" i="10"/>
  <c r="F327" i="10"/>
  <c r="K327" i="10"/>
  <c r="J327" i="10"/>
  <c r="I327" i="10"/>
  <c r="N327" i="10"/>
  <c r="Q327" i="10"/>
  <c r="S327" i="10"/>
  <c r="Y327" i="10"/>
  <c r="Z327" i="10"/>
  <c r="AI327" i="10"/>
  <c r="AJ327" i="10"/>
  <c r="F328" i="10"/>
  <c r="AI328" i="10"/>
  <c r="AJ328" i="10"/>
  <c r="F329" i="10"/>
  <c r="AI329" i="10"/>
  <c r="AJ329" i="10"/>
  <c r="F330" i="10"/>
  <c r="G330" i="10"/>
  <c r="Q330" i="10"/>
  <c r="R330" i="10"/>
  <c r="AI330" i="10"/>
  <c r="AJ330" i="10"/>
  <c r="F331" i="10"/>
  <c r="J331" i="10"/>
  <c r="AI331" i="10"/>
  <c r="AJ331" i="10"/>
  <c r="F332" i="10"/>
  <c r="E332" i="10"/>
  <c r="AF332" i="10"/>
  <c r="AI332" i="10"/>
  <c r="AJ332" i="10"/>
  <c r="F333" i="10"/>
  <c r="Z333" i="10"/>
  <c r="AD333" i="10" s="1"/>
  <c r="AI333" i="10"/>
  <c r="AJ333" i="10"/>
  <c r="F334" i="10"/>
  <c r="H334" i="10"/>
  <c r="F335" i="10"/>
  <c r="AI335" i="10"/>
  <c r="AJ335" i="10"/>
  <c r="F336" i="10"/>
  <c r="E336" i="10" s="1"/>
  <c r="AF336" i="10" s="1"/>
  <c r="I336" i="10"/>
  <c r="G336" i="10"/>
  <c r="H336" i="10"/>
  <c r="J336" i="10"/>
  <c r="L336" i="10"/>
  <c r="M336" i="10"/>
  <c r="P336" i="10"/>
  <c r="Q336" i="10"/>
  <c r="R336" i="10"/>
  <c r="U336" i="10"/>
  <c r="V336" i="10"/>
  <c r="W336" i="10"/>
  <c r="Y336" i="10"/>
  <c r="AB336" i="10" s="1"/>
  <c r="Z336" i="10"/>
  <c r="AI336" i="10"/>
  <c r="AJ336" i="10"/>
  <c r="F337" i="10"/>
  <c r="N337" i="10"/>
  <c r="X337" i="10"/>
  <c r="AI337" i="10"/>
  <c r="AJ337" i="10"/>
  <c r="F338" i="10"/>
  <c r="AI338" i="10"/>
  <c r="AJ338" i="10"/>
  <c r="F339" i="10"/>
  <c r="E339" i="10"/>
  <c r="L339" i="10"/>
  <c r="N339" i="10"/>
  <c r="T339" i="10"/>
  <c r="V339" i="10"/>
  <c r="AI339" i="10"/>
  <c r="AJ339" i="10"/>
  <c r="F340" i="10"/>
  <c r="G340" i="10"/>
  <c r="K340" i="10"/>
  <c r="L340" i="10"/>
  <c r="P340" i="10"/>
  <c r="R340" i="10"/>
  <c r="V340" i="10"/>
  <c r="W340" i="10"/>
  <c r="AI340" i="10"/>
  <c r="AJ340" i="10"/>
  <c r="F341" i="10"/>
  <c r="AI341" i="10"/>
  <c r="AJ341" i="10"/>
  <c r="F342" i="10"/>
  <c r="G342" i="10"/>
  <c r="J342" i="10"/>
  <c r="N342" i="10"/>
  <c r="O342" i="10"/>
  <c r="R342" i="10"/>
  <c r="V342" i="10"/>
  <c r="W342" i="10"/>
  <c r="Z342" i="10"/>
  <c r="AD342" i="10" s="1"/>
  <c r="AG342" i="10"/>
  <c r="AI342" i="10"/>
  <c r="AJ342" i="10"/>
  <c r="F343" i="10"/>
  <c r="L343" i="10"/>
  <c r="H343" i="10"/>
  <c r="N343" i="10"/>
  <c r="T343" i="10"/>
  <c r="X343" i="10"/>
  <c r="AI343" i="10"/>
  <c r="AJ343" i="10"/>
  <c r="F344" i="10"/>
  <c r="I344" i="10"/>
  <c r="G344" i="10"/>
  <c r="J344" i="10"/>
  <c r="K344" i="10"/>
  <c r="M344" i="10"/>
  <c r="O344" i="10"/>
  <c r="Q344" i="10"/>
  <c r="R344" i="10"/>
  <c r="U344" i="10"/>
  <c r="V344" i="10"/>
  <c r="W344" i="10"/>
  <c r="Z344" i="10"/>
  <c r="AI344" i="10"/>
  <c r="AJ344" i="10"/>
  <c r="F345" i="10"/>
  <c r="Z345" i="10"/>
  <c r="AD345" i="10" s="1"/>
  <c r="AI345" i="10"/>
  <c r="AJ345" i="10"/>
  <c r="F346" i="10"/>
  <c r="E346" i="10" s="1"/>
  <c r="G346" i="10"/>
  <c r="H346" i="10"/>
  <c r="I346" i="10"/>
  <c r="J346" i="10"/>
  <c r="F347" i="10"/>
  <c r="E347" i="10"/>
  <c r="L347" i="10"/>
  <c r="H347" i="10"/>
  <c r="N347" i="10"/>
  <c r="P347" i="10"/>
  <c r="V347" i="10"/>
  <c r="AI347" i="10"/>
  <c r="AJ347" i="10"/>
  <c r="F348" i="10"/>
  <c r="E348" i="10" s="1"/>
  <c r="AE348" i="10" s="1"/>
  <c r="L348" i="10"/>
  <c r="J348" i="10"/>
  <c r="I348" i="10"/>
  <c r="N348" i="10"/>
  <c r="Q348" i="10"/>
  <c r="T348" i="10"/>
  <c r="Y348" i="10"/>
  <c r="AI348" i="10"/>
  <c r="AJ348" i="10"/>
  <c r="F349" i="10"/>
  <c r="H349" i="10"/>
  <c r="L349" i="10"/>
  <c r="T349" i="10"/>
  <c r="V349" i="10"/>
  <c r="AI349" i="10"/>
  <c r="AJ349" i="10"/>
  <c r="F350" i="10"/>
  <c r="R350" i="10"/>
  <c r="AI350" i="10"/>
  <c r="AJ350" i="10"/>
  <c r="F351" i="10"/>
  <c r="L351" i="10"/>
  <c r="J351" i="10"/>
  <c r="N351" i="10"/>
  <c r="T351" i="10"/>
  <c r="Z351" i="10"/>
  <c r="AC351" i="10" s="1"/>
  <c r="AI351" i="10"/>
  <c r="AJ351" i="10"/>
  <c r="F352" i="10"/>
  <c r="G352" i="10"/>
  <c r="F353" i="10"/>
  <c r="E353" i="10"/>
  <c r="AF353" i="10"/>
  <c r="V353" i="10"/>
  <c r="AI353" i="10"/>
  <c r="AJ353" i="10"/>
  <c r="F354" i="10"/>
  <c r="J354" i="10"/>
  <c r="V354" i="10"/>
  <c r="Z354" i="10"/>
  <c r="AD354" i="10" s="1"/>
  <c r="AI354" i="10"/>
  <c r="AJ354" i="10"/>
  <c r="F355" i="10"/>
  <c r="P355" i="10"/>
  <c r="AI355" i="10"/>
  <c r="AJ355" i="10"/>
  <c r="F356" i="10"/>
  <c r="AI356" i="10"/>
  <c r="AJ356" i="10"/>
  <c r="F357" i="10"/>
  <c r="X357" i="10"/>
  <c r="H357" i="10"/>
  <c r="E357" i="10"/>
  <c r="L357" i="10"/>
  <c r="N357" i="10"/>
  <c r="V357" i="10"/>
  <c r="AI357" i="10"/>
  <c r="AJ357" i="10"/>
  <c r="F358" i="10"/>
  <c r="E358" i="10" s="1"/>
  <c r="AE358" i="10" s="1"/>
  <c r="L358" i="10"/>
  <c r="J358" i="10"/>
  <c r="I358" i="10"/>
  <c r="N358" i="10"/>
  <c r="T358" i="10"/>
  <c r="V358" i="10"/>
  <c r="AI358" i="10"/>
  <c r="AJ358" i="10"/>
  <c r="F359" i="10"/>
  <c r="J359" i="10"/>
  <c r="L359" i="10"/>
  <c r="T359" i="10"/>
  <c r="X359" i="10"/>
  <c r="AI359" i="10"/>
  <c r="AJ359" i="10"/>
  <c r="F360" i="10"/>
  <c r="E360" i="10"/>
  <c r="AF360" i="10"/>
  <c r="H360" i="10"/>
  <c r="G360" i="10"/>
  <c r="K360" i="10"/>
  <c r="L360" i="10"/>
  <c r="O360" i="10"/>
  <c r="R360" i="10"/>
  <c r="T360" i="10"/>
  <c r="V360" i="10"/>
  <c r="Z360" i="10"/>
  <c r="AG360" i="10"/>
  <c r="AI360" i="10"/>
  <c r="AJ360" i="10"/>
  <c r="F361" i="10"/>
  <c r="N361" i="10"/>
  <c r="AI361" i="10"/>
  <c r="AJ361" i="10"/>
  <c r="F362" i="10"/>
  <c r="N362" i="10"/>
  <c r="I362" i="10"/>
  <c r="J362" i="10"/>
  <c r="Q362" i="10"/>
  <c r="R362" i="10"/>
  <c r="V362" i="10"/>
  <c r="Z362" i="10"/>
  <c r="AG362" i="10"/>
  <c r="AI362" i="10"/>
  <c r="AJ362" i="10"/>
  <c r="F363" i="10"/>
  <c r="L363" i="10"/>
  <c r="AI363" i="10"/>
  <c r="AJ363" i="10"/>
  <c r="F364" i="10"/>
  <c r="J364" i="10"/>
  <c r="G364" i="10"/>
  <c r="I364" i="10"/>
  <c r="K364" i="10"/>
  <c r="N364" i="10"/>
  <c r="O364" i="10"/>
  <c r="S364" i="10"/>
  <c r="U364" i="10"/>
  <c r="V364" i="10"/>
  <c r="Y364" i="10"/>
  <c r="AB364" i="10" s="1"/>
  <c r="Z364" i="10"/>
  <c r="AC364" i="10" s="1"/>
  <c r="AI364" i="10"/>
  <c r="AJ364" i="10"/>
  <c r="F365" i="10"/>
  <c r="J365" i="10"/>
  <c r="P365" i="10"/>
  <c r="X365" i="10"/>
  <c r="AI365" i="10"/>
  <c r="AJ365" i="10"/>
  <c r="F366" i="10"/>
  <c r="Z366" i="10"/>
  <c r="AC366" i="10" s="1"/>
  <c r="AI366" i="10"/>
  <c r="AJ366" i="10"/>
  <c r="F367" i="10"/>
  <c r="L367" i="10"/>
  <c r="J367" i="10"/>
  <c r="E367" i="10"/>
  <c r="N367" i="10"/>
  <c r="V367" i="10"/>
  <c r="Z367" i="10"/>
  <c r="AC367" i="10" s="1"/>
  <c r="AI367" i="10"/>
  <c r="AJ367" i="10"/>
  <c r="F368" i="10"/>
  <c r="AI368" i="10"/>
  <c r="AJ368" i="10"/>
  <c r="F369" i="10"/>
  <c r="E369" i="10"/>
  <c r="H369" i="10"/>
  <c r="J369" i="10"/>
  <c r="L369" i="10"/>
  <c r="N369" i="10"/>
  <c r="P369" i="10"/>
  <c r="R369" i="10"/>
  <c r="T369" i="10"/>
  <c r="V369" i="10"/>
  <c r="X369" i="10"/>
  <c r="Z369" i="10"/>
  <c r="AD369" i="10" s="1"/>
  <c r="AI369" i="10"/>
  <c r="AJ369" i="10"/>
  <c r="F370" i="10"/>
  <c r="M370" i="10"/>
  <c r="AI370" i="10"/>
  <c r="AJ370" i="10"/>
  <c r="F371" i="10"/>
  <c r="H371" i="10"/>
  <c r="E371" i="10"/>
  <c r="F372" i="10"/>
  <c r="G372" i="10"/>
  <c r="E372" i="10"/>
  <c r="AF372" i="10"/>
  <c r="J372" i="10"/>
  <c r="K372" i="10"/>
  <c r="O372" i="10"/>
  <c r="Q372" i="10"/>
  <c r="U372" i="10"/>
  <c r="V372" i="10"/>
  <c r="Z372" i="10"/>
  <c r="AC372" i="10" s="1"/>
  <c r="AI372" i="10"/>
  <c r="AJ372" i="10"/>
  <c r="F373" i="10"/>
  <c r="T373" i="10"/>
  <c r="J373" i="10"/>
  <c r="L373" i="10"/>
  <c r="AI373" i="10"/>
  <c r="AJ373" i="10"/>
  <c r="F374" i="10"/>
  <c r="E374" i="10" s="1"/>
  <c r="I374" i="10"/>
  <c r="G374" i="10"/>
  <c r="H374" i="10"/>
  <c r="J374" i="10"/>
  <c r="K374" i="10"/>
  <c r="L374" i="10"/>
  <c r="N374" i="10"/>
  <c r="O374" i="10"/>
  <c r="P374" i="10"/>
  <c r="R374" i="10"/>
  <c r="S374" i="10"/>
  <c r="T374" i="10"/>
  <c r="V374" i="10"/>
  <c r="W374" i="10"/>
  <c r="X374" i="10"/>
  <c r="Z374" i="10"/>
  <c r="AI374" i="10"/>
  <c r="AJ374" i="10"/>
  <c r="F375" i="10"/>
  <c r="AI375" i="10"/>
  <c r="AJ375" i="10"/>
  <c r="F376" i="10"/>
  <c r="AI376" i="10"/>
  <c r="AJ376" i="10"/>
  <c r="F377" i="10"/>
  <c r="E377" i="10"/>
  <c r="AE377" i="10"/>
  <c r="J377" i="10"/>
  <c r="L377" i="10"/>
  <c r="R377" i="10"/>
  <c r="T377" i="10"/>
  <c r="Z377" i="10"/>
  <c r="AI377" i="10"/>
  <c r="AJ377" i="10"/>
  <c r="F378" i="10"/>
  <c r="H378" i="10"/>
  <c r="AI378" i="10"/>
  <c r="AJ378" i="10"/>
  <c r="F379" i="10"/>
  <c r="V379" i="10"/>
  <c r="AI379" i="10"/>
  <c r="AJ379" i="10"/>
  <c r="F380" i="10"/>
  <c r="J380" i="10"/>
  <c r="N380" i="10"/>
  <c r="R380" i="10"/>
  <c r="V380" i="10"/>
  <c r="AI380" i="10"/>
  <c r="AJ380" i="10"/>
  <c r="F381" i="10"/>
  <c r="P381" i="10"/>
  <c r="AI381" i="10"/>
  <c r="AJ381" i="10"/>
  <c r="F382" i="10"/>
  <c r="I382" i="10"/>
  <c r="O382" i="10"/>
  <c r="R382" i="10"/>
  <c r="Y382" i="10"/>
  <c r="Z382" i="10"/>
  <c r="AD382" i="10"/>
  <c r="AI382" i="10"/>
  <c r="AJ382" i="10"/>
  <c r="F383" i="10"/>
  <c r="L383" i="10"/>
  <c r="AI383" i="10"/>
  <c r="AJ383" i="10"/>
  <c r="F384" i="10"/>
  <c r="R384" i="10"/>
  <c r="AI384" i="10"/>
  <c r="AJ384" i="10"/>
  <c r="F385" i="10"/>
  <c r="L385" i="10"/>
  <c r="E385" i="10"/>
  <c r="AE385" i="10"/>
  <c r="H385" i="10"/>
  <c r="N385" i="10"/>
  <c r="V385" i="10"/>
  <c r="Z385" i="10"/>
  <c r="AC385" i="10" s="1"/>
  <c r="AI385" i="10"/>
  <c r="AJ385" i="10"/>
  <c r="F386" i="10"/>
  <c r="F387" i="10"/>
  <c r="L387" i="10"/>
  <c r="T387" i="10"/>
  <c r="AI387" i="10"/>
  <c r="AJ387" i="10"/>
  <c r="F388" i="10"/>
  <c r="E388" i="10" s="1"/>
  <c r="H388" i="10"/>
  <c r="I388" i="10"/>
  <c r="J388" i="10"/>
  <c r="L388" i="10"/>
  <c r="M388" i="10"/>
  <c r="N388" i="10"/>
  <c r="P388" i="10"/>
  <c r="Q388" i="10"/>
  <c r="R388" i="10"/>
  <c r="T388" i="10"/>
  <c r="U388" i="10"/>
  <c r="V388" i="10"/>
  <c r="X388" i="10"/>
  <c r="Y388" i="10"/>
  <c r="AI388" i="10"/>
  <c r="AJ388" i="10"/>
  <c r="F389" i="10"/>
  <c r="AI389" i="10"/>
  <c r="AJ389" i="10"/>
  <c r="F390" i="10"/>
  <c r="J390" i="10"/>
  <c r="N390" i="10"/>
  <c r="R390" i="10"/>
  <c r="AI390" i="10"/>
  <c r="AJ390" i="10"/>
  <c r="F391" i="10"/>
  <c r="J391" i="10"/>
  <c r="P391" i="10"/>
  <c r="V391" i="10"/>
  <c r="X391" i="10"/>
  <c r="AI391" i="10"/>
  <c r="AJ391" i="10"/>
  <c r="F392" i="10"/>
  <c r="E392" i="10" s="1"/>
  <c r="AE392" i="10" s="1"/>
  <c r="J392" i="10"/>
  <c r="G392" i="10"/>
  <c r="H392" i="10"/>
  <c r="L392" i="10"/>
  <c r="N392" i="10"/>
  <c r="P392" i="10"/>
  <c r="T392" i="10"/>
  <c r="V392" i="10"/>
  <c r="X392" i="10"/>
  <c r="AI392" i="10"/>
  <c r="AJ392" i="10"/>
  <c r="F393" i="10"/>
  <c r="L393" i="10"/>
  <c r="AI393" i="10"/>
  <c r="AJ393" i="10"/>
  <c r="F394" i="10"/>
  <c r="R394" i="10"/>
  <c r="V394" i="10"/>
  <c r="AI394" i="10"/>
  <c r="AJ394" i="10"/>
  <c r="F395" i="10"/>
  <c r="H395" i="10"/>
  <c r="AI395" i="10"/>
  <c r="AJ395" i="10"/>
  <c r="F396" i="10"/>
  <c r="AI396" i="10"/>
  <c r="AJ396" i="10"/>
  <c r="F397" i="10"/>
  <c r="J397" i="10"/>
  <c r="L397" i="10"/>
  <c r="T397" i="10"/>
  <c r="AI397" i="10"/>
  <c r="AJ397" i="10"/>
  <c r="F398" i="10"/>
  <c r="E398" i="10" s="1"/>
  <c r="G398" i="10"/>
  <c r="H398" i="10"/>
  <c r="J398" i="10"/>
  <c r="L398" i="10"/>
  <c r="N398" i="10"/>
  <c r="P398" i="10"/>
  <c r="R398" i="10"/>
  <c r="T398" i="10"/>
  <c r="V398" i="10"/>
  <c r="X398" i="10"/>
  <c r="AG398" i="10"/>
  <c r="AI398" i="10"/>
  <c r="AJ398" i="10"/>
  <c r="F399" i="10"/>
  <c r="E399" i="10"/>
  <c r="AE399" i="10"/>
  <c r="L399" i="10"/>
  <c r="AI399" i="10"/>
  <c r="AJ399" i="10"/>
  <c r="F400" i="10"/>
  <c r="AI400" i="10"/>
  <c r="AJ400" i="10"/>
  <c r="F401" i="10"/>
  <c r="AI401" i="10"/>
  <c r="AJ401" i="10"/>
  <c r="F402" i="10"/>
  <c r="U402" i="10"/>
  <c r="V402" i="10"/>
  <c r="AI402" i="10"/>
  <c r="AJ402" i="10"/>
  <c r="F403" i="10"/>
  <c r="L403" i="10"/>
  <c r="J403" i="10"/>
  <c r="AI403" i="10"/>
  <c r="AJ403" i="10"/>
  <c r="F404" i="10"/>
  <c r="G404" i="10"/>
  <c r="K404" i="10"/>
  <c r="N404" i="10"/>
  <c r="S404" i="10"/>
  <c r="V404" i="10"/>
  <c r="W404" i="10"/>
  <c r="AI404" i="10"/>
  <c r="AJ404" i="10"/>
  <c r="F405" i="10"/>
  <c r="E405" i="10"/>
  <c r="H405" i="10"/>
  <c r="L405" i="10"/>
  <c r="P405" i="10"/>
  <c r="T405" i="10"/>
  <c r="X405" i="10"/>
  <c r="AI405" i="10"/>
  <c r="AJ405" i="10"/>
  <c r="F406" i="10"/>
  <c r="J406" i="10"/>
  <c r="N406" i="10"/>
  <c r="I406" i="10"/>
  <c r="R406" i="10"/>
  <c r="V406" i="10"/>
  <c r="AI406" i="10"/>
  <c r="AJ406" i="10"/>
  <c r="F407" i="10"/>
  <c r="E407" i="10"/>
  <c r="F408" i="10"/>
  <c r="M408" i="10"/>
  <c r="AI408" i="10"/>
  <c r="AJ408" i="10"/>
  <c r="F409" i="10"/>
  <c r="J409" i="10"/>
  <c r="F410" i="10"/>
  <c r="G410" i="10"/>
  <c r="AI410" i="10"/>
  <c r="AJ410" i="10"/>
  <c r="F411" i="10"/>
  <c r="H411" i="10"/>
  <c r="E411" i="10"/>
  <c r="AF411" i="10"/>
  <c r="AE411" i="10"/>
  <c r="J411" i="10"/>
  <c r="L411" i="10"/>
  <c r="N411" i="10"/>
  <c r="R411" i="10"/>
  <c r="T411" i="10"/>
  <c r="V411" i="10"/>
  <c r="Z411" i="10"/>
  <c r="AI411" i="10"/>
  <c r="AJ411" i="10"/>
  <c r="F412" i="10"/>
  <c r="I412" i="10"/>
  <c r="AI412" i="10"/>
  <c r="AJ412" i="10"/>
  <c r="F413" i="10"/>
  <c r="E413" i="10"/>
  <c r="AF413" i="10"/>
  <c r="H413" i="10"/>
  <c r="N413" i="10"/>
  <c r="P413" i="10"/>
  <c r="T413" i="10"/>
  <c r="X413" i="10"/>
  <c r="AI413" i="10"/>
  <c r="AJ413" i="10"/>
  <c r="F414" i="10"/>
  <c r="E414" i="10"/>
  <c r="G414" i="10"/>
  <c r="I414" i="10"/>
  <c r="J414" i="10"/>
  <c r="K414" i="10"/>
  <c r="M414" i="10"/>
  <c r="N414" i="10"/>
  <c r="O414" i="10"/>
  <c r="Q414" i="10"/>
  <c r="R414" i="10"/>
  <c r="S414" i="10"/>
  <c r="U414" i="10"/>
  <c r="V414" i="10"/>
  <c r="W414" i="10"/>
  <c r="Y414" i="10"/>
  <c r="AB414" i="10" s="1"/>
  <c r="Z414" i="10"/>
  <c r="AI414" i="10"/>
  <c r="AJ414" i="10"/>
  <c r="F415" i="10"/>
  <c r="L415" i="10"/>
  <c r="J415" i="10"/>
  <c r="AI415" i="10"/>
  <c r="AJ415" i="10"/>
  <c r="F416" i="10"/>
  <c r="V416" i="10"/>
  <c r="AI416" i="10"/>
  <c r="AJ416" i="10"/>
  <c r="F417" i="10"/>
  <c r="E417" i="10"/>
  <c r="J417" i="10"/>
  <c r="N417" i="10"/>
  <c r="T417" i="10"/>
  <c r="V417" i="10"/>
  <c r="AI417" i="10"/>
  <c r="AJ417" i="10"/>
  <c r="F418" i="10"/>
  <c r="AI418" i="10"/>
  <c r="AJ418" i="10"/>
  <c r="F419" i="10"/>
  <c r="L419" i="10"/>
  <c r="V419" i="10"/>
  <c r="AI419" i="10"/>
  <c r="AJ419" i="10"/>
  <c r="F420" i="10"/>
  <c r="I420" i="10"/>
  <c r="J420" i="10"/>
  <c r="N420" i="10"/>
  <c r="R420" i="10"/>
  <c r="V420" i="10"/>
  <c r="AI420" i="10"/>
  <c r="AJ420" i="10"/>
  <c r="F421" i="10"/>
  <c r="E421" i="10"/>
  <c r="H421" i="10"/>
  <c r="J421" i="10"/>
  <c r="L421" i="10"/>
  <c r="N421" i="10"/>
  <c r="P421" i="10"/>
  <c r="R421" i="10"/>
  <c r="T421" i="10"/>
  <c r="V421" i="10"/>
  <c r="X421" i="10"/>
  <c r="Z421" i="10"/>
  <c r="AD421" i="10" s="1"/>
  <c r="AI421" i="10"/>
  <c r="AJ421" i="10"/>
  <c r="F422" i="10"/>
  <c r="E422" i="10" s="1"/>
  <c r="G422" i="10"/>
  <c r="H422" i="10"/>
  <c r="J422" i="10"/>
  <c r="L422" i="10"/>
  <c r="N422" i="10"/>
  <c r="P422" i="10"/>
  <c r="R422" i="10"/>
  <c r="T422" i="10"/>
  <c r="V422" i="10"/>
  <c r="X422" i="10"/>
  <c r="AI422" i="10"/>
  <c r="AJ422" i="10"/>
  <c r="A3" i="9"/>
  <c r="F3" i="9"/>
  <c r="A4" i="9"/>
  <c r="K4" i="9" s="1"/>
  <c r="F4" i="9"/>
  <c r="A5" i="9"/>
  <c r="F5" i="9"/>
  <c r="A6" i="9"/>
  <c r="F6" i="9"/>
  <c r="A7" i="9"/>
  <c r="K7" i="9" s="1"/>
  <c r="F7" i="9"/>
  <c r="A8" i="9"/>
  <c r="F8" i="9"/>
  <c r="A9" i="9"/>
  <c r="J9" i="9" s="1"/>
  <c r="F9" i="9"/>
  <c r="A10" i="9"/>
  <c r="F10" i="9"/>
  <c r="A11" i="9"/>
  <c r="F11" i="9"/>
  <c r="A12" i="9"/>
  <c r="K12" i="9" s="1"/>
  <c r="A13" i="9"/>
  <c r="F13" i="9"/>
  <c r="A14" i="9"/>
  <c r="F14" i="9"/>
  <c r="H14" i="9"/>
  <c r="I14" i="9"/>
  <c r="A15" i="9"/>
  <c r="F15" i="9"/>
  <c r="H15" i="9"/>
  <c r="I15" i="9"/>
  <c r="A16" i="9"/>
  <c r="F16" i="9"/>
  <c r="H16" i="9"/>
  <c r="I16" i="9"/>
  <c r="A17" i="9"/>
  <c r="F17" i="9"/>
  <c r="H17" i="9"/>
  <c r="I17" i="9"/>
  <c r="A18" i="9"/>
  <c r="F18" i="9"/>
  <c r="H18" i="9"/>
  <c r="I18" i="9"/>
  <c r="A19" i="9"/>
  <c r="F19" i="9"/>
  <c r="H19" i="9"/>
  <c r="I19" i="9"/>
  <c r="A20" i="9"/>
  <c r="F20" i="9"/>
  <c r="H20" i="9"/>
  <c r="I20" i="9"/>
  <c r="A21" i="9"/>
  <c r="F21" i="9"/>
  <c r="H21" i="9"/>
  <c r="I21" i="9"/>
  <c r="A22" i="9"/>
  <c r="F22" i="9"/>
  <c r="H22" i="9"/>
  <c r="I22" i="9"/>
  <c r="A23" i="9"/>
  <c r="F23" i="9"/>
  <c r="H23" i="9"/>
  <c r="I23" i="9"/>
  <c r="A24" i="9"/>
  <c r="F24" i="9"/>
  <c r="H24" i="9"/>
  <c r="I24" i="9"/>
  <c r="A25" i="9"/>
  <c r="F25" i="9"/>
  <c r="H25" i="9"/>
  <c r="I25" i="9"/>
  <c r="O3" i="7"/>
  <c r="P3" i="7"/>
  <c r="B7" i="7"/>
  <c r="T7" i="7"/>
  <c r="A20" i="7"/>
  <c r="A21" i="7"/>
  <c r="A23" i="7"/>
  <c r="K11" i="5"/>
  <c r="L11" i="5"/>
  <c r="N11" i="5"/>
  <c r="O11" i="5"/>
  <c r="P11" i="5"/>
  <c r="Q11" i="5"/>
  <c r="K12" i="5"/>
  <c r="L12" i="5"/>
  <c r="N12" i="5"/>
  <c r="O12" i="5"/>
  <c r="P12" i="5"/>
  <c r="Q12" i="5"/>
  <c r="K13" i="5"/>
  <c r="L13" i="5"/>
  <c r="N13" i="5"/>
  <c r="O13" i="5"/>
  <c r="P13" i="5"/>
  <c r="Q13" i="5"/>
  <c r="R13" i="5"/>
  <c r="K14" i="5"/>
  <c r="L14" i="5"/>
  <c r="N14" i="5"/>
  <c r="O14" i="5"/>
  <c r="P14" i="5"/>
  <c r="Q14" i="5"/>
  <c r="K15" i="5"/>
  <c r="L15" i="5"/>
  <c r="N15" i="5"/>
  <c r="O15" i="5"/>
  <c r="P15" i="5"/>
  <c r="Q15" i="5"/>
  <c r="R15" i="5" s="1"/>
  <c r="K16" i="5"/>
  <c r="L16" i="5"/>
  <c r="N16" i="5"/>
  <c r="O16" i="5"/>
  <c r="P16" i="5"/>
  <c r="Q16" i="5"/>
  <c r="K17" i="5"/>
  <c r="L17" i="5"/>
  <c r="N17" i="5"/>
  <c r="O17" i="5"/>
  <c r="P17" i="5"/>
  <c r="Q17" i="5"/>
  <c r="K18" i="5"/>
  <c r="L18" i="5"/>
  <c r="N18" i="5"/>
  <c r="O18" i="5"/>
  <c r="P18" i="5"/>
  <c r="Q18" i="5"/>
  <c r="K19" i="5"/>
  <c r="L19" i="5"/>
  <c r="N19" i="5"/>
  <c r="O19" i="5"/>
  <c r="P19" i="5"/>
  <c r="Q19" i="5"/>
  <c r="K20" i="5"/>
  <c r="L20" i="5"/>
  <c r="N20" i="5"/>
  <c r="O20" i="5"/>
  <c r="P20" i="5"/>
  <c r="Q20" i="5"/>
  <c r="K21" i="5"/>
  <c r="L21" i="5"/>
  <c r="N21" i="5"/>
  <c r="O21" i="5"/>
  <c r="P21" i="5"/>
  <c r="Q21" i="5"/>
  <c r="R21" i="5"/>
  <c r="AD138" i="10"/>
  <c r="AE421" i="10"/>
  <c r="AF421" i="10"/>
  <c r="AE413" i="10"/>
  <c r="AF369" i="10"/>
  <c r="AE369" i="10"/>
  <c r="AF347" i="10"/>
  <c r="AE347" i="10"/>
  <c r="AF339" i="10"/>
  <c r="AE339" i="10"/>
  <c r="E328" i="10"/>
  <c r="M328" i="10"/>
  <c r="U328" i="10"/>
  <c r="AG328" i="10"/>
  <c r="E324" i="10"/>
  <c r="G324" i="10"/>
  <c r="I324" i="10"/>
  <c r="K324" i="10"/>
  <c r="M324" i="10"/>
  <c r="O324" i="10"/>
  <c r="Q324" i="10"/>
  <c r="S324" i="10"/>
  <c r="U324" i="10"/>
  <c r="W324" i="10"/>
  <c r="Y324" i="10"/>
  <c r="AG324" i="10"/>
  <c r="E320" i="10"/>
  <c r="AE320" i="10"/>
  <c r="G320" i="10"/>
  <c r="I320" i="10"/>
  <c r="K320" i="10"/>
  <c r="M320" i="10"/>
  <c r="O320" i="10"/>
  <c r="Q320" i="10"/>
  <c r="S320" i="10"/>
  <c r="U320" i="10"/>
  <c r="W320" i="10"/>
  <c r="Y320" i="10"/>
  <c r="AB320" i="10" s="1"/>
  <c r="AG320" i="10"/>
  <c r="E318" i="10"/>
  <c r="G318" i="10"/>
  <c r="I318" i="10"/>
  <c r="E314" i="10"/>
  <c r="G314" i="10"/>
  <c r="I314" i="10"/>
  <c r="K314" i="10"/>
  <c r="M314" i="10"/>
  <c r="O314" i="10"/>
  <c r="Q314" i="10"/>
  <c r="S314" i="10"/>
  <c r="U314" i="10"/>
  <c r="W314" i="10"/>
  <c r="Y314" i="10"/>
  <c r="AG314" i="10"/>
  <c r="E308" i="10"/>
  <c r="G308" i="10"/>
  <c r="I308" i="10"/>
  <c r="K308" i="10"/>
  <c r="M308" i="10"/>
  <c r="O308" i="10"/>
  <c r="Q308" i="10"/>
  <c r="S308" i="10"/>
  <c r="U308" i="10"/>
  <c r="W308" i="10"/>
  <c r="Y308" i="10"/>
  <c r="AG308" i="10"/>
  <c r="E304" i="10"/>
  <c r="G304" i="10"/>
  <c r="I304" i="10"/>
  <c r="K304" i="10"/>
  <c r="M304" i="10"/>
  <c r="O304" i="10"/>
  <c r="Q304" i="10"/>
  <c r="S304" i="10"/>
  <c r="U304" i="10"/>
  <c r="W304" i="10"/>
  <c r="Y304" i="10"/>
  <c r="AG304" i="10"/>
  <c r="E300" i="10"/>
  <c r="G300" i="10"/>
  <c r="M300" i="10"/>
  <c r="O300" i="10"/>
  <c r="Q300" i="10"/>
  <c r="W300" i="10"/>
  <c r="Y300" i="10"/>
  <c r="E296" i="10"/>
  <c r="AF296" i="10"/>
  <c r="I296" i="10"/>
  <c r="M296" i="10"/>
  <c r="O296" i="10"/>
  <c r="U296" i="10"/>
  <c r="W296" i="10"/>
  <c r="Y296" i="10"/>
  <c r="E292" i="10"/>
  <c r="G292" i="10"/>
  <c r="I292" i="10"/>
  <c r="K292" i="10"/>
  <c r="M292" i="10"/>
  <c r="O292" i="10"/>
  <c r="Q292" i="10"/>
  <c r="S292" i="10"/>
  <c r="U292" i="10"/>
  <c r="W292" i="10"/>
  <c r="Y292" i="10"/>
  <c r="AB292" i="10" s="1"/>
  <c r="AG292" i="10"/>
  <c r="G286" i="10"/>
  <c r="K286" i="10"/>
  <c r="S286" i="10"/>
  <c r="U286" i="10"/>
  <c r="E282" i="10"/>
  <c r="G282" i="10"/>
  <c r="M282" i="10"/>
  <c r="O282" i="10"/>
  <c r="S282" i="10"/>
  <c r="W282" i="10"/>
  <c r="AG282" i="10"/>
  <c r="E280" i="10"/>
  <c r="G280" i="10"/>
  <c r="I280" i="10"/>
  <c r="E276" i="10"/>
  <c r="AF276" i="10"/>
  <c r="G276" i="10"/>
  <c r="I276" i="10"/>
  <c r="K276" i="10"/>
  <c r="M276" i="10"/>
  <c r="O276" i="10"/>
  <c r="Q276" i="10"/>
  <c r="S276" i="10"/>
  <c r="U276" i="10"/>
  <c r="W276" i="10"/>
  <c r="Y276" i="10"/>
  <c r="AA276" i="10" s="1"/>
  <c r="AG276" i="10"/>
  <c r="E274" i="10"/>
  <c r="G270" i="10"/>
  <c r="I270" i="10"/>
  <c r="Q270" i="10"/>
  <c r="U270" i="10"/>
  <c r="E266" i="10"/>
  <c r="AF266" i="10"/>
  <c r="G266" i="10"/>
  <c r="I266" i="10"/>
  <c r="K266" i="10"/>
  <c r="M266" i="10"/>
  <c r="O266" i="10"/>
  <c r="Q266" i="10"/>
  <c r="S266" i="10"/>
  <c r="U266" i="10"/>
  <c r="W266" i="10"/>
  <c r="Y266" i="10"/>
  <c r="AG266" i="10"/>
  <c r="E262" i="10"/>
  <c r="G262" i="10"/>
  <c r="I262" i="10"/>
  <c r="K262" i="10"/>
  <c r="M262" i="10"/>
  <c r="O262" i="10"/>
  <c r="Q262" i="10"/>
  <c r="S262" i="10"/>
  <c r="U262" i="10"/>
  <c r="W262" i="10"/>
  <c r="Y262" i="10"/>
  <c r="AA262" i="10" s="1"/>
  <c r="AG262" i="10"/>
  <c r="E260" i="10"/>
  <c r="G260" i="10"/>
  <c r="I260" i="10"/>
  <c r="AE250" i="10"/>
  <c r="AF232" i="10"/>
  <c r="AE232" i="10"/>
  <c r="AE214" i="10"/>
  <c r="AF172" i="10"/>
  <c r="AE172" i="10"/>
  <c r="AF132" i="10"/>
  <c r="AE132" i="10"/>
  <c r="AG421" i="10"/>
  <c r="Y421" i="10"/>
  <c r="W421" i="10"/>
  <c r="U421" i="10"/>
  <c r="S421" i="10"/>
  <c r="Q421" i="10"/>
  <c r="O421" i="10"/>
  <c r="M421" i="10"/>
  <c r="K421" i="10"/>
  <c r="I421" i="10"/>
  <c r="G421" i="10"/>
  <c r="W419" i="10"/>
  <c r="O419" i="10"/>
  <c r="G419" i="10"/>
  <c r="W417" i="10"/>
  <c r="Q417" i="10"/>
  <c r="O417" i="10"/>
  <c r="K417" i="10"/>
  <c r="G417" i="10"/>
  <c r="W415" i="10"/>
  <c r="U415" i="10"/>
  <c r="O415" i="10"/>
  <c r="M415" i="10"/>
  <c r="G415" i="10"/>
  <c r="AG413" i="10"/>
  <c r="W413" i="10"/>
  <c r="U413" i="10"/>
  <c r="S413" i="10"/>
  <c r="O413" i="10"/>
  <c r="M413" i="10"/>
  <c r="K413" i="10"/>
  <c r="G413" i="10"/>
  <c r="AG411" i="10"/>
  <c r="Y411" i="10"/>
  <c r="AA411" i="10" s="1"/>
  <c r="W411" i="10"/>
  <c r="U411" i="10"/>
  <c r="S411" i="10"/>
  <c r="Q411" i="10"/>
  <c r="O411" i="10"/>
  <c r="M411" i="10"/>
  <c r="K411" i="10"/>
  <c r="I411" i="10"/>
  <c r="G411" i="10"/>
  <c r="I409" i="10"/>
  <c r="G407" i="10"/>
  <c r="AG405" i="10"/>
  <c r="Y405" i="10"/>
  <c r="AA405" i="10" s="1"/>
  <c r="W405" i="10"/>
  <c r="U405" i="10"/>
  <c r="S405" i="10"/>
  <c r="Q405" i="10"/>
  <c r="O405" i="10"/>
  <c r="M405" i="10"/>
  <c r="K405" i="10"/>
  <c r="I405" i="10"/>
  <c r="G405" i="10"/>
  <c r="Y403" i="10"/>
  <c r="AA403" i="10" s="1"/>
  <c r="AB403" i="10"/>
  <c r="W403" i="10"/>
  <c r="Q403" i="10"/>
  <c r="O403" i="10"/>
  <c r="I403" i="10"/>
  <c r="G403" i="10"/>
  <c r="W399" i="10"/>
  <c r="U399" i="10"/>
  <c r="M399" i="10"/>
  <c r="AG397" i="10"/>
  <c r="Y397" i="10"/>
  <c r="W397" i="10"/>
  <c r="U397" i="10"/>
  <c r="S397" i="10"/>
  <c r="Q397" i="10"/>
  <c r="O397" i="10"/>
  <c r="M397" i="10"/>
  <c r="K397" i="10"/>
  <c r="I397" i="10"/>
  <c r="G397" i="10"/>
  <c r="Y395" i="10"/>
  <c r="S395" i="10"/>
  <c r="I395" i="10"/>
  <c r="G393" i="10"/>
  <c r="AG391" i="10"/>
  <c r="W391" i="10"/>
  <c r="S391" i="10"/>
  <c r="O391" i="10"/>
  <c r="K391" i="10"/>
  <c r="I391" i="10"/>
  <c r="O389" i="10"/>
  <c r="AG387" i="10"/>
  <c r="Y387" i="10"/>
  <c r="AB387" i="10" s="1"/>
  <c r="S387" i="10"/>
  <c r="Q387" i="10"/>
  <c r="M387" i="10"/>
  <c r="I387" i="10"/>
  <c r="AG385" i="10"/>
  <c r="W385" i="10"/>
  <c r="U385" i="10"/>
  <c r="S385" i="10"/>
  <c r="O385" i="10"/>
  <c r="M385" i="10"/>
  <c r="K385" i="10"/>
  <c r="G385" i="10"/>
  <c r="AG383" i="10"/>
  <c r="Y383" i="10"/>
  <c r="AB383" i="10" s="1"/>
  <c r="U383" i="10"/>
  <c r="S383" i="10"/>
  <c r="Q383" i="10"/>
  <c r="K383" i="10"/>
  <c r="I383" i="10"/>
  <c r="K381" i="10"/>
  <c r="Y379" i="10"/>
  <c r="AB379" i="10" s="1"/>
  <c r="AA379" i="10"/>
  <c r="Q379" i="10"/>
  <c r="AG377" i="10"/>
  <c r="Y377" i="10"/>
  <c r="AB377" i="10" s="1"/>
  <c r="W377" i="10"/>
  <c r="U377" i="10"/>
  <c r="S377" i="10"/>
  <c r="Q377" i="10"/>
  <c r="O377" i="10"/>
  <c r="M377" i="10"/>
  <c r="K377" i="10"/>
  <c r="I377" i="10"/>
  <c r="G377" i="10"/>
  <c r="AG373" i="10"/>
  <c r="Y373" i="10"/>
  <c r="AA373" i="10"/>
  <c r="W373" i="10"/>
  <c r="U373" i="10"/>
  <c r="S373" i="10"/>
  <c r="Q373" i="10"/>
  <c r="O373" i="10"/>
  <c r="M373" i="10"/>
  <c r="K373" i="10"/>
  <c r="I373" i="10"/>
  <c r="G373" i="10"/>
  <c r="I371" i="10"/>
  <c r="AG369" i="10"/>
  <c r="Y369" i="10"/>
  <c r="AA369" i="10" s="1"/>
  <c r="W369" i="10"/>
  <c r="U369" i="10"/>
  <c r="S369" i="10"/>
  <c r="Q369" i="10"/>
  <c r="O369" i="10"/>
  <c r="M369" i="10"/>
  <c r="K369" i="10"/>
  <c r="I369" i="10"/>
  <c r="G369" i="10"/>
  <c r="AG367" i="10"/>
  <c r="Y367" i="10"/>
  <c r="W367" i="10"/>
  <c r="U367" i="10"/>
  <c r="S367" i="10"/>
  <c r="Q367" i="10"/>
  <c r="O367" i="10"/>
  <c r="M367" i="10"/>
  <c r="K367" i="10"/>
  <c r="I367" i="10"/>
  <c r="G367" i="10"/>
  <c r="AG365" i="10"/>
  <c r="Y365" i="10"/>
  <c r="W365" i="10"/>
  <c r="U365" i="10"/>
  <c r="S365" i="10"/>
  <c r="Q365" i="10"/>
  <c r="O365" i="10"/>
  <c r="M365" i="10"/>
  <c r="K365" i="10"/>
  <c r="I365" i="10"/>
  <c r="G365" i="10"/>
  <c r="AG363" i="10"/>
  <c r="Y363" i="10"/>
  <c r="W363" i="10"/>
  <c r="U363" i="10"/>
  <c r="S363" i="10"/>
  <c r="Q363" i="10"/>
  <c r="O363" i="10"/>
  <c r="M363" i="10"/>
  <c r="K363" i="10"/>
  <c r="I363" i="10"/>
  <c r="G363" i="10"/>
  <c r="AG361" i="10"/>
  <c r="W361" i="10"/>
  <c r="U361" i="10"/>
  <c r="Q361" i="10"/>
  <c r="O361" i="10"/>
  <c r="M361" i="10"/>
  <c r="I361" i="10"/>
  <c r="G361" i="10"/>
  <c r="AG359" i="10"/>
  <c r="Y359" i="10"/>
  <c r="W359" i="10"/>
  <c r="U359" i="10"/>
  <c r="S359" i="10"/>
  <c r="Q359" i="10"/>
  <c r="O359" i="10"/>
  <c r="M359" i="10"/>
  <c r="K359" i="10"/>
  <c r="I359" i="10"/>
  <c r="G359" i="10"/>
  <c r="AG357" i="10"/>
  <c r="Y357" i="10"/>
  <c r="W357" i="10"/>
  <c r="U357" i="10"/>
  <c r="S357" i="10"/>
  <c r="Q357" i="10"/>
  <c r="O357" i="10"/>
  <c r="M357" i="10"/>
  <c r="K357" i="10"/>
  <c r="I357" i="10"/>
  <c r="G357" i="10"/>
  <c r="AG355" i="10"/>
  <c r="Y355" i="10"/>
  <c r="W355" i="10"/>
  <c r="U355" i="10"/>
  <c r="S355" i="10"/>
  <c r="Q355" i="10"/>
  <c r="O355" i="10"/>
  <c r="M355" i="10"/>
  <c r="K355" i="10"/>
  <c r="I355" i="10"/>
  <c r="G355" i="10"/>
  <c r="AG353" i="10"/>
  <c r="Y353" i="10"/>
  <c r="S353" i="10"/>
  <c r="Q353" i="10"/>
  <c r="M353" i="10"/>
  <c r="I353" i="10"/>
  <c r="AG351" i="10"/>
  <c r="Y351" i="10"/>
  <c r="AB351" i="10" s="1"/>
  <c r="W351" i="10"/>
  <c r="U351" i="10"/>
  <c r="S351" i="10"/>
  <c r="Q351" i="10"/>
  <c r="O351" i="10"/>
  <c r="M351" i="10"/>
  <c r="K351" i="10"/>
  <c r="I351" i="10"/>
  <c r="G351" i="10"/>
  <c r="AG349" i="10"/>
  <c r="Y349" i="10"/>
  <c r="AB349" i="10" s="1"/>
  <c r="W349" i="10"/>
  <c r="U349" i="10"/>
  <c r="S349" i="10"/>
  <c r="Q349" i="10"/>
  <c r="O349" i="10"/>
  <c r="M349" i="10"/>
  <c r="K349" i="10"/>
  <c r="I349" i="10"/>
  <c r="G349" i="10"/>
  <c r="AG347" i="10"/>
  <c r="Y347" i="10"/>
  <c r="W347" i="10"/>
  <c r="U347" i="10"/>
  <c r="S347" i="10"/>
  <c r="Q347" i="10"/>
  <c r="O347" i="10"/>
  <c r="M347" i="10"/>
  <c r="K347" i="10"/>
  <c r="I347" i="10"/>
  <c r="G347" i="10"/>
  <c r="W345" i="10"/>
  <c r="U345" i="10"/>
  <c r="O345" i="10"/>
  <c r="M345" i="10"/>
  <c r="I345" i="10"/>
  <c r="AG343" i="10"/>
  <c r="Y343" i="10"/>
  <c r="AB343" i="10"/>
  <c r="W343" i="10"/>
  <c r="U343" i="10"/>
  <c r="S343" i="10"/>
  <c r="Q343" i="10"/>
  <c r="O343" i="10"/>
  <c r="M343" i="10"/>
  <c r="K343" i="10"/>
  <c r="I343" i="10"/>
  <c r="G343" i="10"/>
  <c r="W341" i="10"/>
  <c r="O341" i="10"/>
  <c r="M341" i="10"/>
  <c r="AG339" i="10"/>
  <c r="Y339" i="10"/>
  <c r="W339" i="10"/>
  <c r="U339" i="10"/>
  <c r="S339" i="10"/>
  <c r="Q339" i="10"/>
  <c r="O339" i="10"/>
  <c r="M339" i="10"/>
  <c r="K339" i="10"/>
  <c r="I339" i="10"/>
  <c r="G339" i="10"/>
  <c r="AG337" i="10"/>
  <c r="U337" i="10"/>
  <c r="Q337" i="10"/>
  <c r="O337" i="10"/>
  <c r="I337" i="10"/>
  <c r="G337" i="10"/>
  <c r="AG335" i="10"/>
  <c r="W335" i="10"/>
  <c r="S335" i="10"/>
  <c r="Q335" i="10"/>
  <c r="O335" i="10"/>
  <c r="K335" i="10"/>
  <c r="I335" i="10"/>
  <c r="G335" i="10"/>
  <c r="AG333" i="10"/>
  <c r="Y333" i="10"/>
  <c r="AB333" i="10" s="1"/>
  <c r="W333" i="10"/>
  <c r="U333" i="10"/>
  <c r="S333" i="10"/>
  <c r="Q333" i="10"/>
  <c r="O333" i="10"/>
  <c r="M333" i="10"/>
  <c r="K333" i="10"/>
  <c r="I333" i="10"/>
  <c r="G333" i="10"/>
  <c r="AG331" i="10"/>
  <c r="Y331" i="10"/>
  <c r="AA331" i="10"/>
  <c r="W331" i="10"/>
  <c r="U331" i="10"/>
  <c r="S331" i="10"/>
  <c r="Q331" i="10"/>
  <c r="O331" i="10"/>
  <c r="M331" i="10"/>
  <c r="K331" i="10"/>
  <c r="I331" i="10"/>
  <c r="G331" i="10"/>
  <c r="X326" i="10"/>
  <c r="P326" i="10"/>
  <c r="L326" i="10"/>
  <c r="X322" i="10"/>
  <c r="T322" i="10"/>
  <c r="P322" i="10"/>
  <c r="L322" i="10"/>
  <c r="X316" i="10"/>
  <c r="T316" i="10"/>
  <c r="P316" i="10"/>
  <c r="L316" i="10"/>
  <c r="X312" i="10"/>
  <c r="X306" i="10"/>
  <c r="T306" i="10"/>
  <c r="P306" i="10"/>
  <c r="L306" i="10"/>
  <c r="X302" i="10"/>
  <c r="T302" i="10"/>
  <c r="P302" i="10"/>
  <c r="L302" i="10"/>
  <c r="X298" i="10"/>
  <c r="T298" i="10"/>
  <c r="P298" i="10"/>
  <c r="L298" i="10"/>
  <c r="X294" i="10"/>
  <c r="P294" i="10"/>
  <c r="X290" i="10"/>
  <c r="T290" i="10"/>
  <c r="P290" i="10"/>
  <c r="L290" i="10"/>
  <c r="X284" i="10"/>
  <c r="T284" i="10"/>
  <c r="P284" i="10"/>
  <c r="L284" i="10"/>
  <c r="X278" i="10"/>
  <c r="T278" i="10"/>
  <c r="P278" i="10"/>
  <c r="L278" i="10"/>
  <c r="X272" i="10"/>
  <c r="T272" i="10"/>
  <c r="P272" i="10"/>
  <c r="L272" i="10"/>
  <c r="X268" i="10"/>
  <c r="T268" i="10"/>
  <c r="P268" i="10"/>
  <c r="L268" i="10"/>
  <c r="X264" i="10"/>
  <c r="T264" i="10"/>
  <c r="P264" i="10"/>
  <c r="L264" i="10"/>
  <c r="X258" i="10"/>
  <c r="T258" i="10"/>
  <c r="P258" i="10"/>
  <c r="L258" i="10"/>
  <c r="G326" i="10"/>
  <c r="I326" i="10"/>
  <c r="K326" i="10"/>
  <c r="O326" i="10"/>
  <c r="Q326" i="10"/>
  <c r="S326" i="10"/>
  <c r="W326" i="10"/>
  <c r="Y326" i="10"/>
  <c r="AG326" i="10"/>
  <c r="E322" i="10"/>
  <c r="G322" i="10"/>
  <c r="I322" i="10"/>
  <c r="K322" i="10"/>
  <c r="M322" i="10"/>
  <c r="O322" i="10"/>
  <c r="Q322" i="10"/>
  <c r="S322" i="10"/>
  <c r="U322" i="10"/>
  <c r="W322" i="10"/>
  <c r="Y322" i="10"/>
  <c r="AB322" i="10" s="1"/>
  <c r="AG322" i="10"/>
  <c r="E316" i="10"/>
  <c r="G316" i="10"/>
  <c r="I316" i="10"/>
  <c r="K316" i="10"/>
  <c r="M316" i="10"/>
  <c r="O316" i="10"/>
  <c r="Q316" i="10"/>
  <c r="S316" i="10"/>
  <c r="U316" i="10"/>
  <c r="W316" i="10"/>
  <c r="Y316" i="10"/>
  <c r="AG316" i="10"/>
  <c r="K312" i="10"/>
  <c r="M312" i="10"/>
  <c r="U312" i="10"/>
  <c r="W312" i="10"/>
  <c r="E310" i="10"/>
  <c r="G310" i="10"/>
  <c r="I310" i="10"/>
  <c r="E306" i="10"/>
  <c r="G306" i="10"/>
  <c r="I306" i="10"/>
  <c r="K306" i="10"/>
  <c r="M306" i="10"/>
  <c r="O306" i="10"/>
  <c r="Q306" i="10"/>
  <c r="S306" i="10"/>
  <c r="U306" i="10"/>
  <c r="W306" i="10"/>
  <c r="Y306" i="10"/>
  <c r="AG306" i="10"/>
  <c r="E302" i="10"/>
  <c r="AF302" i="10"/>
  <c r="G302" i="10"/>
  <c r="I302" i="10"/>
  <c r="K302" i="10"/>
  <c r="M302" i="10"/>
  <c r="O302" i="10"/>
  <c r="Q302" i="10"/>
  <c r="S302" i="10"/>
  <c r="U302" i="10"/>
  <c r="W302" i="10"/>
  <c r="Y302" i="10"/>
  <c r="AA302" i="10"/>
  <c r="AG302" i="10"/>
  <c r="E298" i="10"/>
  <c r="AE298" i="10"/>
  <c r="G298" i="10"/>
  <c r="I298" i="10"/>
  <c r="K298" i="10"/>
  <c r="M298" i="10"/>
  <c r="O298" i="10"/>
  <c r="Q298" i="10"/>
  <c r="S298" i="10"/>
  <c r="U298" i="10"/>
  <c r="W298" i="10"/>
  <c r="Y298" i="10"/>
  <c r="AG298" i="10"/>
  <c r="G294" i="10"/>
  <c r="O294" i="10"/>
  <c r="Q294" i="10"/>
  <c r="Y294" i="10"/>
  <c r="AA294" i="10" s="1"/>
  <c r="E290" i="10"/>
  <c r="G290" i="10"/>
  <c r="I290" i="10"/>
  <c r="K290" i="10"/>
  <c r="M290" i="10"/>
  <c r="O290" i="10"/>
  <c r="Q290" i="10"/>
  <c r="S290" i="10"/>
  <c r="U290" i="10"/>
  <c r="W290" i="10"/>
  <c r="Y290" i="10"/>
  <c r="AA290" i="10" s="1"/>
  <c r="AG290" i="10"/>
  <c r="E284" i="10"/>
  <c r="G284" i="10"/>
  <c r="I284" i="10"/>
  <c r="K284" i="10"/>
  <c r="M284" i="10"/>
  <c r="O284" i="10"/>
  <c r="Q284" i="10"/>
  <c r="S284" i="10"/>
  <c r="U284" i="10"/>
  <c r="W284" i="10"/>
  <c r="Y284" i="10"/>
  <c r="AB284" i="10" s="1"/>
  <c r="AG284" i="10"/>
  <c r="E278" i="10"/>
  <c r="AF278" i="10"/>
  <c r="G278" i="10"/>
  <c r="I278" i="10"/>
  <c r="K278" i="10"/>
  <c r="M278" i="10"/>
  <c r="O278" i="10"/>
  <c r="Q278" i="10"/>
  <c r="S278" i="10"/>
  <c r="U278" i="10"/>
  <c r="W278" i="10"/>
  <c r="Y278" i="10"/>
  <c r="AG278" i="10"/>
  <c r="E272" i="10"/>
  <c r="G272" i="10"/>
  <c r="I272" i="10"/>
  <c r="K272" i="10"/>
  <c r="M272" i="10"/>
  <c r="O272" i="10"/>
  <c r="Q272" i="10"/>
  <c r="S272" i="10"/>
  <c r="U272" i="10"/>
  <c r="W272" i="10"/>
  <c r="Y272" i="10"/>
  <c r="AG272" i="10"/>
  <c r="E268" i="10"/>
  <c r="AF268" i="10"/>
  <c r="G268" i="10"/>
  <c r="I268" i="10"/>
  <c r="K268" i="10"/>
  <c r="M268" i="10"/>
  <c r="O268" i="10"/>
  <c r="Q268" i="10"/>
  <c r="S268" i="10"/>
  <c r="U268" i="10"/>
  <c r="W268" i="10"/>
  <c r="Y268" i="10"/>
  <c r="AA268" i="10" s="1"/>
  <c r="AG268" i="10"/>
  <c r="E264" i="10"/>
  <c r="G264" i="10"/>
  <c r="I264" i="10"/>
  <c r="K264" i="10"/>
  <c r="M264" i="10"/>
  <c r="O264" i="10"/>
  <c r="Q264" i="10"/>
  <c r="S264" i="10"/>
  <c r="U264" i="10"/>
  <c r="W264" i="10"/>
  <c r="Y264" i="10"/>
  <c r="AA264" i="10" s="1"/>
  <c r="AG264" i="10"/>
  <c r="E258" i="10"/>
  <c r="AF258" i="10"/>
  <c r="G258" i="10"/>
  <c r="I258" i="10"/>
  <c r="K258" i="10"/>
  <c r="M258" i="10"/>
  <c r="O258" i="10"/>
  <c r="Q258" i="10"/>
  <c r="S258" i="10"/>
  <c r="U258" i="10"/>
  <c r="W258" i="10"/>
  <c r="Y258" i="10"/>
  <c r="AB258" i="10" s="1"/>
  <c r="AG258" i="10"/>
  <c r="G256" i="10"/>
  <c r="I256" i="10"/>
  <c r="AF248" i="10"/>
  <c r="AF196" i="10"/>
  <c r="AF182" i="10"/>
  <c r="AE182" i="10"/>
  <c r="AF144" i="10"/>
  <c r="AE144" i="10"/>
  <c r="AF130" i="10"/>
  <c r="AF124" i="10"/>
  <c r="AE124" i="10"/>
  <c r="AF116" i="10"/>
  <c r="AE116" i="10"/>
  <c r="E113" i="10"/>
  <c r="AE113" i="10"/>
  <c r="G113" i="10"/>
  <c r="I113" i="10"/>
  <c r="K113" i="10"/>
  <c r="M113" i="10"/>
  <c r="O113" i="10"/>
  <c r="Q113" i="10"/>
  <c r="S113" i="10"/>
  <c r="U113" i="10"/>
  <c r="W113" i="10"/>
  <c r="Y113" i="10"/>
  <c r="AG113" i="10"/>
  <c r="E109" i="10"/>
  <c r="AF109" i="10"/>
  <c r="AE109" i="10"/>
  <c r="K109" i="10"/>
  <c r="M109" i="10"/>
  <c r="S109" i="10"/>
  <c r="U109" i="10"/>
  <c r="AG109" i="10"/>
  <c r="E105" i="10"/>
  <c r="G105" i="10"/>
  <c r="I105" i="10"/>
  <c r="K105" i="10"/>
  <c r="M105" i="10"/>
  <c r="O105" i="10"/>
  <c r="Q105" i="10"/>
  <c r="S105" i="10"/>
  <c r="U105" i="10"/>
  <c r="W105" i="10"/>
  <c r="Y105" i="10"/>
  <c r="AA105" i="10"/>
  <c r="AG105" i="10"/>
  <c r="E101" i="10"/>
  <c r="G101" i="10"/>
  <c r="I101" i="10"/>
  <c r="K101" i="10"/>
  <c r="M101" i="10"/>
  <c r="O101" i="10"/>
  <c r="Q101" i="10"/>
  <c r="S101" i="10"/>
  <c r="U101" i="10"/>
  <c r="W101" i="10"/>
  <c r="Y101" i="10"/>
  <c r="AB101" i="10" s="1"/>
  <c r="AG101" i="10"/>
  <c r="E95" i="10"/>
  <c r="AF95" i="10"/>
  <c r="AE95" i="10"/>
  <c r="G95" i="10"/>
  <c r="I95" i="10"/>
  <c r="K95" i="10"/>
  <c r="M95" i="10"/>
  <c r="O95" i="10"/>
  <c r="Q95" i="10"/>
  <c r="S95" i="10"/>
  <c r="U95" i="10"/>
  <c r="W95" i="10"/>
  <c r="Y95" i="10"/>
  <c r="AB95" i="10"/>
  <c r="AA95" i="10"/>
  <c r="AG95" i="10"/>
  <c r="E91" i="10"/>
  <c r="G91" i="10"/>
  <c r="I91" i="10"/>
  <c r="K91" i="10"/>
  <c r="M91" i="10"/>
  <c r="O91" i="10"/>
  <c r="Q91" i="10"/>
  <c r="S91" i="10"/>
  <c r="U91" i="10"/>
  <c r="W91" i="10"/>
  <c r="Y91" i="10"/>
  <c r="AG91" i="10"/>
  <c r="E87" i="10"/>
  <c r="G87" i="10"/>
  <c r="I87" i="10"/>
  <c r="K87" i="10"/>
  <c r="M87" i="10"/>
  <c r="O87" i="10"/>
  <c r="Q87" i="10"/>
  <c r="S87" i="10"/>
  <c r="U87" i="10"/>
  <c r="W87" i="10"/>
  <c r="Y87" i="10"/>
  <c r="AG87" i="10"/>
  <c r="E83" i="10"/>
  <c r="AE83" i="10"/>
  <c r="G83" i="10"/>
  <c r="I83" i="10"/>
  <c r="K83" i="10"/>
  <c r="M83" i="10"/>
  <c r="O83" i="10"/>
  <c r="Q83" i="10"/>
  <c r="S83" i="10"/>
  <c r="U83" i="10"/>
  <c r="W83" i="10"/>
  <c r="Y83" i="10"/>
  <c r="AG83" i="10"/>
  <c r="E79" i="10"/>
  <c r="AE79" i="10"/>
  <c r="G79" i="10"/>
  <c r="I79" i="10"/>
  <c r="K79" i="10"/>
  <c r="M79" i="10"/>
  <c r="O79" i="10"/>
  <c r="Q79" i="10"/>
  <c r="S79" i="10"/>
  <c r="U79" i="10"/>
  <c r="W79" i="10"/>
  <c r="Y79" i="10"/>
  <c r="AG79" i="10"/>
  <c r="E75" i="10"/>
  <c r="AF75" i="10"/>
  <c r="G75" i="10"/>
  <c r="I75" i="10"/>
  <c r="K75" i="10"/>
  <c r="M75" i="10"/>
  <c r="O75" i="10"/>
  <c r="Q75" i="10"/>
  <c r="S75" i="10"/>
  <c r="U75" i="10"/>
  <c r="W75" i="10"/>
  <c r="Y75" i="10"/>
  <c r="AG75" i="10"/>
  <c r="AF33" i="10"/>
  <c r="AE33" i="10"/>
  <c r="AF5" i="10"/>
  <c r="AE5" i="10"/>
  <c r="I254" i="10"/>
  <c r="G254" i="10"/>
  <c r="AG252" i="10"/>
  <c r="U252" i="10"/>
  <c r="S252" i="10"/>
  <c r="K252" i="10"/>
  <c r="I252" i="10"/>
  <c r="AG250" i="10"/>
  <c r="Y250" i="10"/>
  <c r="W250" i="10"/>
  <c r="U250" i="10"/>
  <c r="S250" i="10"/>
  <c r="Q250" i="10"/>
  <c r="O250" i="10"/>
  <c r="M250" i="10"/>
  <c r="K250" i="10"/>
  <c r="I250" i="10"/>
  <c r="G250" i="10"/>
  <c r="AG248" i="10"/>
  <c r="Y248" i="10"/>
  <c r="W248" i="10"/>
  <c r="U248" i="10"/>
  <c r="S248" i="10"/>
  <c r="Q248" i="10"/>
  <c r="O248" i="10"/>
  <c r="M248" i="10"/>
  <c r="K248" i="10"/>
  <c r="I248" i="10"/>
  <c r="G248" i="10"/>
  <c r="AG246" i="10"/>
  <c r="Y246" i="10"/>
  <c r="AB246" i="10" s="1"/>
  <c r="W246" i="10"/>
  <c r="U246" i="10"/>
  <c r="S246" i="10"/>
  <c r="Q246" i="10"/>
  <c r="O246" i="10"/>
  <c r="M246" i="10"/>
  <c r="K246" i="10"/>
  <c r="I246" i="10"/>
  <c r="G246" i="10"/>
  <c r="AG244" i="10"/>
  <c r="S244" i="10"/>
  <c r="M244" i="10"/>
  <c r="K244" i="10"/>
  <c r="AG242" i="10"/>
  <c r="Y242" i="10"/>
  <c r="AB242" i="10" s="1"/>
  <c r="M242" i="10"/>
  <c r="K242" i="10"/>
  <c r="AG240" i="10"/>
  <c r="U240" i="10"/>
  <c r="S240" i="10"/>
  <c r="K240" i="10"/>
  <c r="I240" i="10"/>
  <c r="AG238" i="10"/>
  <c r="Y238" i="10"/>
  <c r="AB238" i="10" s="1"/>
  <c r="U238" i="10"/>
  <c r="S238" i="10"/>
  <c r="Q238" i="10"/>
  <c r="M238" i="10"/>
  <c r="K238" i="10"/>
  <c r="I238" i="10"/>
  <c r="AG236" i="10"/>
  <c r="Y236" i="10"/>
  <c r="W236" i="10"/>
  <c r="U236" i="10"/>
  <c r="S236" i="10"/>
  <c r="Q236" i="10"/>
  <c r="O236" i="10"/>
  <c r="M236" i="10"/>
  <c r="K236" i="10"/>
  <c r="I236" i="10"/>
  <c r="G236" i="10"/>
  <c r="I234" i="10"/>
  <c r="G234" i="10"/>
  <c r="AG232" i="10"/>
  <c r="Y232" i="10"/>
  <c r="AB232" i="10" s="1"/>
  <c r="W232" i="10"/>
  <c r="U232" i="10"/>
  <c r="S232" i="10"/>
  <c r="Q232" i="10"/>
  <c r="O232" i="10"/>
  <c r="M232" i="10"/>
  <c r="K232" i="10"/>
  <c r="I232" i="10"/>
  <c r="G232" i="10"/>
  <c r="AG230" i="10"/>
  <c r="Y230" i="10"/>
  <c r="W230" i="10"/>
  <c r="U230" i="10"/>
  <c r="S230" i="10"/>
  <c r="Q230" i="10"/>
  <c r="O230" i="10"/>
  <c r="M230" i="10"/>
  <c r="K230" i="10"/>
  <c r="I230" i="10"/>
  <c r="G230" i="10"/>
  <c r="I228" i="10"/>
  <c r="G228" i="10"/>
  <c r="Y226" i="10"/>
  <c r="W226" i="10"/>
  <c r="U226" i="10"/>
  <c r="Q226" i="10"/>
  <c r="O226" i="10"/>
  <c r="M226" i="10"/>
  <c r="I226" i="10"/>
  <c r="G226" i="10"/>
  <c r="AG224" i="10"/>
  <c r="W224" i="10"/>
  <c r="U224" i="10"/>
  <c r="Q224" i="10"/>
  <c r="O224" i="10"/>
  <c r="M224" i="10"/>
  <c r="I224" i="10"/>
  <c r="G224" i="10"/>
  <c r="I222" i="10"/>
  <c r="G222" i="10"/>
  <c r="AG220" i="10"/>
  <c r="Y220" i="10"/>
  <c r="AA220" i="10"/>
  <c r="W220" i="10"/>
  <c r="U220" i="10"/>
  <c r="S220" i="10"/>
  <c r="Q220" i="10"/>
  <c r="O220" i="10"/>
  <c r="M220" i="10"/>
  <c r="K220" i="10"/>
  <c r="I220" i="10"/>
  <c r="G220" i="10"/>
  <c r="AG218" i="10"/>
  <c r="Y218" i="10"/>
  <c r="W218" i="10"/>
  <c r="U218" i="10"/>
  <c r="S218" i="10"/>
  <c r="Q218" i="10"/>
  <c r="O218" i="10"/>
  <c r="M218" i="10"/>
  <c r="K218" i="10"/>
  <c r="I218" i="10"/>
  <c r="G218" i="10"/>
  <c r="AG216" i="10"/>
  <c r="W216" i="10"/>
  <c r="U216" i="10"/>
  <c r="O216" i="10"/>
  <c r="M216" i="10"/>
  <c r="G216" i="10"/>
  <c r="AG214" i="10"/>
  <c r="Y214" i="10"/>
  <c r="AA214" i="10" s="1"/>
  <c r="W214" i="10"/>
  <c r="U214" i="10"/>
  <c r="S214" i="10"/>
  <c r="Q214" i="10"/>
  <c r="O214" i="10"/>
  <c r="M214" i="10"/>
  <c r="K214" i="10"/>
  <c r="I214" i="10"/>
  <c r="G214" i="10"/>
  <c r="AG212" i="10"/>
  <c r="M212" i="10"/>
  <c r="K212" i="10"/>
  <c r="AG210" i="10"/>
  <c r="Y210" i="10"/>
  <c r="W210" i="10"/>
  <c r="U210" i="10"/>
  <c r="S210" i="10"/>
  <c r="Q210" i="10"/>
  <c r="O210" i="10"/>
  <c r="M210" i="10"/>
  <c r="K210" i="10"/>
  <c r="I210" i="10"/>
  <c r="G210" i="10"/>
  <c r="I208" i="10"/>
  <c r="G208" i="10"/>
  <c r="AG206" i="10"/>
  <c r="Y206" i="10"/>
  <c r="AA206" i="10" s="1"/>
  <c r="U206" i="10"/>
  <c r="S206" i="10"/>
  <c r="Q206" i="10"/>
  <c r="M206" i="10"/>
  <c r="K206" i="10"/>
  <c r="I206" i="10"/>
  <c r="I204" i="10"/>
  <c r="G204" i="10"/>
  <c r="AG202" i="10"/>
  <c r="Y202" i="10"/>
  <c r="AA202" i="10"/>
  <c r="W202" i="10"/>
  <c r="U202" i="10"/>
  <c r="S202" i="10"/>
  <c r="Q202" i="10"/>
  <c r="O202" i="10"/>
  <c r="M202" i="10"/>
  <c r="K202" i="10"/>
  <c r="I202" i="10"/>
  <c r="G202" i="10"/>
  <c r="I200" i="10"/>
  <c r="G200" i="10"/>
  <c r="AG198" i="10"/>
  <c r="Y198" i="10"/>
  <c r="AB198" i="10"/>
  <c r="U198" i="10"/>
  <c r="S198" i="10"/>
  <c r="Q198" i="10"/>
  <c r="M198" i="10"/>
  <c r="K198" i="10"/>
  <c r="I198" i="10"/>
  <c r="AG196" i="10"/>
  <c r="Y196" i="10"/>
  <c r="W196" i="10"/>
  <c r="U196" i="10"/>
  <c r="S196" i="10"/>
  <c r="Q196" i="10"/>
  <c r="O196" i="10"/>
  <c r="M196" i="10"/>
  <c r="K196" i="10"/>
  <c r="I196" i="10"/>
  <c r="G196" i="10"/>
  <c r="AG194" i="10"/>
  <c r="Y194" i="10"/>
  <c r="W194" i="10"/>
  <c r="U194" i="10"/>
  <c r="S194" i="10"/>
  <c r="Q194" i="10"/>
  <c r="O194" i="10"/>
  <c r="M194" i="10"/>
  <c r="K194" i="10"/>
  <c r="I194" i="10"/>
  <c r="G194" i="10"/>
  <c r="AG192" i="10"/>
  <c r="Y192" i="10"/>
  <c r="AA192" i="10" s="1"/>
  <c r="W192" i="10"/>
  <c r="U192" i="10"/>
  <c r="S192" i="10"/>
  <c r="Q192" i="10"/>
  <c r="O192" i="10"/>
  <c r="M192" i="10"/>
  <c r="K192" i="10"/>
  <c r="I192" i="10"/>
  <c r="G192" i="10"/>
  <c r="AG188" i="10"/>
  <c r="Y188" i="10"/>
  <c r="AB188" i="10" s="1"/>
  <c r="U188" i="10"/>
  <c r="S188" i="10"/>
  <c r="Q188" i="10"/>
  <c r="M188" i="10"/>
  <c r="K188" i="10"/>
  <c r="I188" i="10"/>
  <c r="AG186" i="10"/>
  <c r="Y186" i="10"/>
  <c r="W186" i="10"/>
  <c r="U186" i="10"/>
  <c r="S186" i="10"/>
  <c r="Q186" i="10"/>
  <c r="O186" i="10"/>
  <c r="M186" i="10"/>
  <c r="K186" i="10"/>
  <c r="I186" i="10"/>
  <c r="G186" i="10"/>
  <c r="Y184" i="10"/>
  <c r="AA184" i="10" s="1"/>
  <c r="W184" i="10"/>
  <c r="S184" i="10"/>
  <c r="Q184" i="10"/>
  <c r="K184" i="10"/>
  <c r="I184" i="10"/>
  <c r="G184" i="10"/>
  <c r="AG182" i="10"/>
  <c r="Y182" i="10"/>
  <c r="W182" i="10"/>
  <c r="U182" i="10"/>
  <c r="S182" i="10"/>
  <c r="Q182" i="10"/>
  <c r="O182" i="10"/>
  <c r="M182" i="10"/>
  <c r="K182" i="10"/>
  <c r="I182" i="10"/>
  <c r="G182" i="10"/>
  <c r="AG180" i="10"/>
  <c r="Y180" i="10"/>
  <c r="AB180" i="10" s="1"/>
  <c r="AA180" i="10"/>
  <c r="W180" i="10"/>
  <c r="U180" i="10"/>
  <c r="S180" i="10"/>
  <c r="Q180" i="10"/>
  <c r="O180" i="10"/>
  <c r="M180" i="10"/>
  <c r="K180" i="10"/>
  <c r="I180" i="10"/>
  <c r="G180" i="10"/>
  <c r="AG178" i="10"/>
  <c r="Y178" i="10"/>
  <c r="U178" i="10"/>
  <c r="S178" i="10"/>
  <c r="Q178" i="10"/>
  <c r="M178" i="10"/>
  <c r="K178" i="10"/>
  <c r="I178" i="10"/>
  <c r="W176" i="10"/>
  <c r="U176" i="10"/>
  <c r="O176" i="10"/>
  <c r="M176" i="10"/>
  <c r="G176" i="10"/>
  <c r="AG174" i="10"/>
  <c r="Y174" i="10"/>
  <c r="W174" i="10"/>
  <c r="U174" i="10"/>
  <c r="S174" i="10"/>
  <c r="Q174" i="10"/>
  <c r="O174" i="10"/>
  <c r="M174" i="10"/>
  <c r="K174" i="10"/>
  <c r="I174" i="10"/>
  <c r="G174" i="10"/>
  <c r="AG172" i="10"/>
  <c r="Y172" i="10"/>
  <c r="AB172" i="10" s="1"/>
  <c r="W172" i="10"/>
  <c r="U172" i="10"/>
  <c r="S172" i="10"/>
  <c r="Q172" i="10"/>
  <c r="O172" i="10"/>
  <c r="M172" i="10"/>
  <c r="K172" i="10"/>
  <c r="I172" i="10"/>
  <c r="G172" i="10"/>
  <c r="AG170" i="10"/>
  <c r="Y170" i="10"/>
  <c r="AA170" i="10"/>
  <c r="W170" i="10"/>
  <c r="U170" i="10"/>
  <c r="S170" i="10"/>
  <c r="Q170" i="10"/>
  <c r="O170" i="10"/>
  <c r="M170" i="10"/>
  <c r="K170" i="10"/>
  <c r="I170" i="10"/>
  <c r="G170" i="10"/>
  <c r="AG168" i="10"/>
  <c r="Y168" i="10"/>
  <c r="W168" i="10"/>
  <c r="U168" i="10"/>
  <c r="S168" i="10"/>
  <c r="Q168" i="10"/>
  <c r="O168" i="10"/>
  <c r="M168" i="10"/>
  <c r="K168" i="10"/>
  <c r="I168" i="10"/>
  <c r="G168" i="10"/>
  <c r="Y166" i="10"/>
  <c r="W166" i="10"/>
  <c r="U166" i="10"/>
  <c r="Q166" i="10"/>
  <c r="O166" i="10"/>
  <c r="M166" i="10"/>
  <c r="I166" i="10"/>
  <c r="G166" i="10"/>
  <c r="W164" i="10"/>
  <c r="U164" i="10"/>
  <c r="O164" i="10"/>
  <c r="M164" i="10"/>
  <c r="G164" i="10"/>
  <c r="Y162" i="10"/>
  <c r="S162" i="10"/>
  <c r="Q162" i="10"/>
  <c r="O162" i="10"/>
  <c r="I162" i="10"/>
  <c r="G162" i="10"/>
  <c r="Y160" i="10"/>
  <c r="AA160" i="10" s="1"/>
  <c r="W160" i="10"/>
  <c r="U160" i="10"/>
  <c r="Q160" i="10"/>
  <c r="O160" i="10"/>
  <c r="M160" i="10"/>
  <c r="I160" i="10"/>
  <c r="G160" i="10"/>
  <c r="AG158" i="10"/>
  <c r="Y158" i="10"/>
  <c r="AB158" i="10"/>
  <c r="W158" i="10"/>
  <c r="U158" i="10"/>
  <c r="S158" i="10"/>
  <c r="Q158" i="10"/>
  <c r="O158" i="10"/>
  <c r="M158" i="10"/>
  <c r="K158" i="10"/>
  <c r="I158" i="10"/>
  <c r="G158" i="10"/>
  <c r="AG156" i="10"/>
  <c r="Y156" i="10"/>
  <c r="AA156" i="10" s="1"/>
  <c r="W156" i="10"/>
  <c r="U156" i="10"/>
  <c r="S156" i="10"/>
  <c r="Q156" i="10"/>
  <c r="O156" i="10"/>
  <c r="M156" i="10"/>
  <c r="K156" i="10"/>
  <c r="I156" i="10"/>
  <c r="G156" i="10"/>
  <c r="AG154" i="10"/>
  <c r="W154" i="10"/>
  <c r="U154" i="10"/>
  <c r="S154" i="10"/>
  <c r="O154" i="10"/>
  <c r="M154" i="10"/>
  <c r="K154" i="10"/>
  <c r="G154" i="10"/>
  <c r="I152" i="10"/>
  <c r="G152" i="10"/>
  <c r="Y150" i="10"/>
  <c r="S150" i="10"/>
  <c r="M150" i="10"/>
  <c r="K150" i="10"/>
  <c r="AG148" i="10"/>
  <c r="Y148" i="10"/>
  <c r="AA148" i="10" s="1"/>
  <c r="W148" i="10"/>
  <c r="U148" i="10"/>
  <c r="S148" i="10"/>
  <c r="Q148" i="10"/>
  <c r="O148" i="10"/>
  <c r="M148" i="10"/>
  <c r="K148" i="10"/>
  <c r="I148" i="10"/>
  <c r="G148" i="10"/>
  <c r="Y146" i="10"/>
  <c r="W146" i="10"/>
  <c r="S146" i="10"/>
  <c r="Q146" i="10"/>
  <c r="O146" i="10"/>
  <c r="K146" i="10"/>
  <c r="I146" i="10"/>
  <c r="G146" i="10"/>
  <c r="Y144" i="10"/>
  <c r="AA144" i="10" s="1"/>
  <c r="U144" i="10"/>
  <c r="S144" i="10"/>
  <c r="Q144" i="10"/>
  <c r="M144" i="10"/>
  <c r="K144" i="10"/>
  <c r="I144" i="10"/>
  <c r="AG142" i="10"/>
  <c r="Y142" i="10"/>
  <c r="W142" i="10"/>
  <c r="S142" i="10"/>
  <c r="Q142" i="10"/>
  <c r="O142" i="10"/>
  <c r="K142" i="10"/>
  <c r="I142" i="10"/>
  <c r="G142" i="10"/>
  <c r="I140" i="10"/>
  <c r="G140" i="10"/>
  <c r="AG138" i="10"/>
  <c r="Y138" i="10"/>
  <c r="W138" i="10"/>
  <c r="U138" i="10"/>
  <c r="S138" i="10"/>
  <c r="Q138" i="10"/>
  <c r="O138" i="10"/>
  <c r="M138" i="10"/>
  <c r="K138" i="10"/>
  <c r="I138" i="10"/>
  <c r="G138" i="10"/>
  <c r="AG136" i="10"/>
  <c r="Y136" i="10"/>
  <c r="W136" i="10"/>
  <c r="U136" i="10"/>
  <c r="S136" i="10"/>
  <c r="Q136" i="10"/>
  <c r="O136" i="10"/>
  <c r="M136" i="10"/>
  <c r="K136" i="10"/>
  <c r="I136" i="10"/>
  <c r="G136" i="10"/>
  <c r="Y134" i="10"/>
  <c r="AA134" i="10" s="1"/>
  <c r="W134" i="10"/>
  <c r="Q134" i="10"/>
  <c r="O134" i="10"/>
  <c r="I134" i="10"/>
  <c r="G134" i="10"/>
  <c r="AG132" i="10"/>
  <c r="Y132" i="10"/>
  <c r="W132" i="10"/>
  <c r="U132" i="10"/>
  <c r="S132" i="10"/>
  <c r="Q132" i="10"/>
  <c r="O132" i="10"/>
  <c r="M132" i="10"/>
  <c r="K132" i="10"/>
  <c r="I132" i="10"/>
  <c r="G132" i="10"/>
  <c r="AG130" i="10"/>
  <c r="Y130" i="10"/>
  <c r="AB130" i="10" s="1"/>
  <c r="W130" i="10"/>
  <c r="U130" i="10"/>
  <c r="S130" i="10"/>
  <c r="Q130" i="10"/>
  <c r="O130" i="10"/>
  <c r="M130" i="10"/>
  <c r="K130" i="10"/>
  <c r="I130" i="10"/>
  <c r="G130" i="10"/>
  <c r="AG128" i="10"/>
  <c r="Y128" i="10"/>
  <c r="W128" i="10"/>
  <c r="U128" i="10"/>
  <c r="S128" i="10"/>
  <c r="Q128" i="10"/>
  <c r="O128" i="10"/>
  <c r="M128" i="10"/>
  <c r="K128" i="10"/>
  <c r="I128" i="10"/>
  <c r="G128" i="10"/>
  <c r="AG126" i="10"/>
  <c r="Y126" i="10"/>
  <c r="W126" i="10"/>
  <c r="U126" i="10"/>
  <c r="S126" i="10"/>
  <c r="Q126" i="10"/>
  <c r="O126" i="10"/>
  <c r="M126" i="10"/>
  <c r="K126" i="10"/>
  <c r="I126" i="10"/>
  <c r="G126" i="10"/>
  <c r="AG124" i="10"/>
  <c r="Y124" i="10"/>
  <c r="AB124" i="10" s="1"/>
  <c r="W124" i="10"/>
  <c r="U124" i="10"/>
  <c r="S124" i="10"/>
  <c r="Q124" i="10"/>
  <c r="O124" i="10"/>
  <c r="M124" i="10"/>
  <c r="K124" i="10"/>
  <c r="I124" i="10"/>
  <c r="G124" i="10"/>
  <c r="AG122" i="10"/>
  <c r="Y122" i="10"/>
  <c r="U122" i="10"/>
  <c r="S122" i="10"/>
  <c r="Q122" i="10"/>
  <c r="M122" i="10"/>
  <c r="K122" i="10"/>
  <c r="I122" i="10"/>
  <c r="AG120" i="10"/>
  <c r="Y120" i="10"/>
  <c r="AB120" i="10"/>
  <c r="W120" i="10"/>
  <c r="U120" i="10"/>
  <c r="S120" i="10"/>
  <c r="Q120" i="10"/>
  <c r="O120" i="10"/>
  <c r="M120" i="10"/>
  <c r="K120" i="10"/>
  <c r="I120" i="10"/>
  <c r="G120" i="10"/>
  <c r="AG118" i="10"/>
  <c r="Y118" i="10"/>
  <c r="AA118" i="10" s="1"/>
  <c r="W118" i="10"/>
  <c r="U118" i="10"/>
  <c r="S118" i="10"/>
  <c r="Q118" i="10"/>
  <c r="O118" i="10"/>
  <c r="M118" i="10"/>
  <c r="K118" i="10"/>
  <c r="I118" i="10"/>
  <c r="G118" i="10"/>
  <c r="AG116" i="10"/>
  <c r="Y116" i="10"/>
  <c r="AB116" i="10" s="1"/>
  <c r="W116" i="10"/>
  <c r="U116" i="10"/>
  <c r="S116" i="10"/>
  <c r="Q116" i="10"/>
  <c r="O116" i="10"/>
  <c r="M116" i="10"/>
  <c r="K116" i="10"/>
  <c r="I116" i="10"/>
  <c r="G116" i="10"/>
  <c r="Z115" i="10"/>
  <c r="X115" i="10"/>
  <c r="V115" i="10"/>
  <c r="T115" i="10"/>
  <c r="P115" i="10"/>
  <c r="L115" i="10"/>
  <c r="X111" i="10"/>
  <c r="T111" i="10"/>
  <c r="P111" i="10"/>
  <c r="L111" i="10"/>
  <c r="X107" i="10"/>
  <c r="T107" i="10"/>
  <c r="P107" i="10"/>
  <c r="L107" i="10"/>
  <c r="AE104" i="10"/>
  <c r="X103" i="10"/>
  <c r="T103" i="10"/>
  <c r="P103" i="10"/>
  <c r="L103" i="10"/>
  <c r="X99" i="10"/>
  <c r="T99" i="10"/>
  <c r="P99" i="10"/>
  <c r="L99" i="10"/>
  <c r="AE94" i="10"/>
  <c r="X93" i="10"/>
  <c r="T93" i="10"/>
  <c r="P93" i="10"/>
  <c r="L93" i="10"/>
  <c r="X89" i="10"/>
  <c r="T89" i="10"/>
  <c r="P89" i="10"/>
  <c r="L89" i="10"/>
  <c r="X85" i="10"/>
  <c r="T85" i="10"/>
  <c r="P85" i="10"/>
  <c r="L85" i="10"/>
  <c r="X81" i="10"/>
  <c r="T81" i="10"/>
  <c r="P81" i="10"/>
  <c r="L81" i="10"/>
  <c r="X77" i="10"/>
  <c r="T77" i="10"/>
  <c r="P77" i="10"/>
  <c r="L77" i="10"/>
  <c r="X73" i="10"/>
  <c r="T73" i="10"/>
  <c r="P73" i="10"/>
  <c r="L73" i="10"/>
  <c r="E115" i="10"/>
  <c r="AF115" i="10"/>
  <c r="G115" i="10"/>
  <c r="I115" i="10"/>
  <c r="K115" i="10"/>
  <c r="M115" i="10"/>
  <c r="O115" i="10"/>
  <c r="Q115" i="10"/>
  <c r="S115" i="10"/>
  <c r="E111" i="10"/>
  <c r="AF111" i="10"/>
  <c r="AE111" i="10"/>
  <c r="G111" i="10"/>
  <c r="I111" i="10"/>
  <c r="K111" i="10"/>
  <c r="M111" i="10"/>
  <c r="O111" i="10"/>
  <c r="Q111" i="10"/>
  <c r="S111" i="10"/>
  <c r="U111" i="10"/>
  <c r="W111" i="10"/>
  <c r="Y111" i="10"/>
  <c r="AB111" i="10" s="1"/>
  <c r="AG111" i="10"/>
  <c r="E107" i="10"/>
  <c r="AE107" i="10"/>
  <c r="G107" i="10"/>
  <c r="I107" i="10"/>
  <c r="K107" i="10"/>
  <c r="M107" i="10"/>
  <c r="O107" i="10"/>
  <c r="Q107" i="10"/>
  <c r="S107" i="10"/>
  <c r="U107" i="10"/>
  <c r="W107" i="10"/>
  <c r="Y107" i="10"/>
  <c r="AG107" i="10"/>
  <c r="E103" i="10"/>
  <c r="AE103" i="10"/>
  <c r="G103" i="10"/>
  <c r="I103" i="10"/>
  <c r="K103" i="10"/>
  <c r="M103" i="10"/>
  <c r="O103" i="10"/>
  <c r="Q103" i="10"/>
  <c r="S103" i="10"/>
  <c r="U103" i="10"/>
  <c r="W103" i="10"/>
  <c r="Y103" i="10"/>
  <c r="AA103" i="10"/>
  <c r="AG103" i="10"/>
  <c r="E99" i="10"/>
  <c r="AE99" i="10"/>
  <c r="G99" i="10"/>
  <c r="I99" i="10"/>
  <c r="K99" i="10"/>
  <c r="M99" i="10"/>
  <c r="O99" i="10"/>
  <c r="Q99" i="10"/>
  <c r="S99" i="10"/>
  <c r="U99" i="10"/>
  <c r="W99" i="10"/>
  <c r="Y99" i="10"/>
  <c r="AA99" i="10" s="1"/>
  <c r="AG99" i="10"/>
  <c r="E97" i="10"/>
  <c r="G97" i="10"/>
  <c r="E93" i="10"/>
  <c r="AE93" i="10"/>
  <c r="G93" i="10"/>
  <c r="I93" i="10"/>
  <c r="K93" i="10"/>
  <c r="M93" i="10"/>
  <c r="O93" i="10"/>
  <c r="Q93" i="10"/>
  <c r="S93" i="10"/>
  <c r="U93" i="10"/>
  <c r="W93" i="10"/>
  <c r="Y93" i="10"/>
  <c r="AG93" i="10"/>
  <c r="E89" i="10"/>
  <c r="G89" i="10"/>
  <c r="I89" i="10"/>
  <c r="K89" i="10"/>
  <c r="M89" i="10"/>
  <c r="O89" i="10"/>
  <c r="Q89" i="10"/>
  <c r="S89" i="10"/>
  <c r="U89" i="10"/>
  <c r="W89" i="10"/>
  <c r="Y89" i="10"/>
  <c r="AG89" i="10"/>
  <c r="E85" i="10"/>
  <c r="G85" i="10"/>
  <c r="I85" i="10"/>
  <c r="K85" i="10"/>
  <c r="M85" i="10"/>
  <c r="O85" i="10"/>
  <c r="Q85" i="10"/>
  <c r="S85" i="10"/>
  <c r="U85" i="10"/>
  <c r="W85" i="10"/>
  <c r="Y85" i="10"/>
  <c r="AB85" i="10" s="1"/>
  <c r="AG85" i="10"/>
  <c r="E81" i="10"/>
  <c r="G81" i="10"/>
  <c r="I81" i="10"/>
  <c r="K81" i="10"/>
  <c r="M81" i="10"/>
  <c r="O81" i="10"/>
  <c r="Q81" i="10"/>
  <c r="S81" i="10"/>
  <c r="U81" i="10"/>
  <c r="W81" i="10"/>
  <c r="Y81" i="10"/>
  <c r="AA81" i="10" s="1"/>
  <c r="AG81" i="10"/>
  <c r="E77" i="10"/>
  <c r="AE77" i="10"/>
  <c r="G77" i="10"/>
  <c r="I77" i="10"/>
  <c r="K77" i="10"/>
  <c r="M77" i="10"/>
  <c r="O77" i="10"/>
  <c r="Q77" i="10"/>
  <c r="S77" i="10"/>
  <c r="U77" i="10"/>
  <c r="W77" i="10"/>
  <c r="Y77" i="10"/>
  <c r="AG77" i="10"/>
  <c r="E73" i="10"/>
  <c r="AF73" i="10"/>
  <c r="G73" i="10"/>
  <c r="I73" i="10"/>
  <c r="K73" i="10"/>
  <c r="M73" i="10"/>
  <c r="O73" i="10"/>
  <c r="Q73" i="10"/>
  <c r="S73" i="10"/>
  <c r="U73" i="10"/>
  <c r="W73" i="10"/>
  <c r="Y73" i="10"/>
  <c r="AA73" i="10" s="1"/>
  <c r="AG73" i="10"/>
  <c r="AF53" i="10"/>
  <c r="AE53" i="10"/>
  <c r="AF7" i="10"/>
  <c r="AE7" i="10"/>
  <c r="I71" i="10"/>
  <c r="G71" i="10"/>
  <c r="U69" i="10"/>
  <c r="AG67" i="10"/>
  <c r="Y67" i="10"/>
  <c r="W67" i="10"/>
  <c r="U67" i="10"/>
  <c r="S67" i="10"/>
  <c r="Q67" i="10"/>
  <c r="O67" i="10"/>
  <c r="M67" i="10"/>
  <c r="K67" i="10"/>
  <c r="I67" i="10"/>
  <c r="G67" i="10"/>
  <c r="AG65" i="10"/>
  <c r="Y65" i="10"/>
  <c r="W65" i="10"/>
  <c r="U65" i="10"/>
  <c r="S65" i="10"/>
  <c r="Q65" i="10"/>
  <c r="O65" i="10"/>
  <c r="M65" i="10"/>
  <c r="K65" i="10"/>
  <c r="I65" i="10"/>
  <c r="G65" i="10"/>
  <c r="AG63" i="10"/>
  <c r="W63" i="10"/>
  <c r="U63" i="10"/>
  <c r="S63" i="10"/>
  <c r="O63" i="10"/>
  <c r="M63" i="10"/>
  <c r="K63" i="10"/>
  <c r="G63" i="10"/>
  <c r="AG61" i="10"/>
  <c r="Y61" i="10"/>
  <c r="AA61" i="10"/>
  <c r="W61" i="10"/>
  <c r="U61" i="10"/>
  <c r="S61" i="10"/>
  <c r="Q61" i="10"/>
  <c r="O61" i="10"/>
  <c r="M61" i="10"/>
  <c r="K61" i="10"/>
  <c r="I61" i="10"/>
  <c r="G61" i="10"/>
  <c r="AG57" i="10"/>
  <c r="Y57" i="10"/>
  <c r="W57" i="10"/>
  <c r="U57" i="10"/>
  <c r="S57" i="10"/>
  <c r="Q57" i="10"/>
  <c r="O57" i="10"/>
  <c r="M57" i="10"/>
  <c r="K57" i="10"/>
  <c r="I57" i="10"/>
  <c r="G57" i="10"/>
  <c r="AG55" i="10"/>
  <c r="Y55" i="10"/>
  <c r="AB55" i="10" s="1"/>
  <c r="W55" i="10"/>
  <c r="U55" i="10"/>
  <c r="S55" i="10"/>
  <c r="Q55" i="10"/>
  <c r="O55" i="10"/>
  <c r="M55" i="10"/>
  <c r="K55" i="10"/>
  <c r="I55" i="10"/>
  <c r="G55" i="10"/>
  <c r="AG53" i="10"/>
  <c r="Y53" i="10"/>
  <c r="AB53" i="10" s="1"/>
  <c r="W53" i="10"/>
  <c r="U53" i="10"/>
  <c r="S53" i="10"/>
  <c r="Q53" i="10"/>
  <c r="O53" i="10"/>
  <c r="M53" i="10"/>
  <c r="K53" i="10"/>
  <c r="I53" i="10"/>
  <c r="G53" i="10"/>
  <c r="AG51" i="10"/>
  <c r="Y51" i="10"/>
  <c r="AA51" i="10" s="1"/>
  <c r="W51" i="10"/>
  <c r="U51" i="10"/>
  <c r="S51" i="10"/>
  <c r="Q51" i="10"/>
  <c r="O51" i="10"/>
  <c r="M51" i="10"/>
  <c r="K51" i="10"/>
  <c r="I51" i="10"/>
  <c r="G51" i="10"/>
  <c r="AG49" i="10"/>
  <c r="Y49" i="10"/>
  <c r="W49" i="10"/>
  <c r="U49" i="10"/>
  <c r="S49" i="10"/>
  <c r="Q49" i="10"/>
  <c r="O49" i="10"/>
  <c r="M49" i="10"/>
  <c r="K49" i="10"/>
  <c r="I49" i="10"/>
  <c r="G49" i="10"/>
  <c r="AG47" i="10"/>
  <c r="Y47" i="10"/>
  <c r="AA47" i="10" s="1"/>
  <c r="W47" i="10"/>
  <c r="U47" i="10"/>
  <c r="S47" i="10"/>
  <c r="Q47" i="10"/>
  <c r="O47" i="10"/>
  <c r="M47" i="10"/>
  <c r="K47" i="10"/>
  <c r="I47" i="10"/>
  <c r="G47" i="10"/>
  <c r="AG45" i="10"/>
  <c r="Y45" i="10"/>
  <c r="W45" i="10"/>
  <c r="U45" i="10"/>
  <c r="S45" i="10"/>
  <c r="Q45" i="10"/>
  <c r="O45" i="10"/>
  <c r="M45" i="10"/>
  <c r="K45" i="10"/>
  <c r="I45" i="10"/>
  <c r="G45" i="10"/>
  <c r="AG43" i="10"/>
  <c r="Y43" i="10"/>
  <c r="AB43" i="10" s="1"/>
  <c r="W43" i="10"/>
  <c r="U43" i="10"/>
  <c r="S43" i="10"/>
  <c r="Q43" i="10"/>
  <c r="O43" i="10"/>
  <c r="M43" i="10"/>
  <c r="K43" i="10"/>
  <c r="I43" i="10"/>
  <c r="G43" i="10"/>
  <c r="AG41" i="10"/>
  <c r="Y41" i="10"/>
  <c r="AB41" i="10" s="1"/>
  <c r="W41" i="10"/>
  <c r="U41" i="10"/>
  <c r="S41" i="10"/>
  <c r="Q41" i="10"/>
  <c r="O41" i="10"/>
  <c r="M41" i="10"/>
  <c r="K41" i="10"/>
  <c r="I41" i="10"/>
  <c r="G41" i="10"/>
  <c r="AG39" i="10"/>
  <c r="Y39" i="10"/>
  <c r="W39" i="10"/>
  <c r="U39" i="10"/>
  <c r="S39" i="10"/>
  <c r="Q39" i="10"/>
  <c r="O39" i="10"/>
  <c r="M39" i="10"/>
  <c r="K39" i="10"/>
  <c r="I39" i="10"/>
  <c r="G39" i="10"/>
  <c r="AG37" i="10"/>
  <c r="Y37" i="10"/>
  <c r="AB37" i="10" s="1"/>
  <c r="W37" i="10"/>
  <c r="U37" i="10"/>
  <c r="S37" i="10"/>
  <c r="Q37" i="10"/>
  <c r="O37" i="10"/>
  <c r="M37" i="10"/>
  <c r="K37" i="10"/>
  <c r="I37" i="10"/>
  <c r="G37" i="10"/>
  <c r="AG35" i="10"/>
  <c r="Y35" i="10"/>
  <c r="AB35" i="10" s="1"/>
  <c r="W35" i="10"/>
  <c r="U35" i="10"/>
  <c r="S35" i="10"/>
  <c r="Q35" i="10"/>
  <c r="O35" i="10"/>
  <c r="M35" i="10"/>
  <c r="K35" i="10"/>
  <c r="I35" i="10"/>
  <c r="G35" i="10"/>
  <c r="AG33" i="10"/>
  <c r="Y33" i="10"/>
  <c r="AB33" i="10" s="1"/>
  <c r="W33" i="10"/>
  <c r="U33" i="10"/>
  <c r="S33" i="10"/>
  <c r="Q33" i="10"/>
  <c r="O33" i="10"/>
  <c r="M33" i="10"/>
  <c r="K33" i="10"/>
  <c r="I33" i="10"/>
  <c r="G33" i="10"/>
  <c r="AG31" i="10"/>
  <c r="Y31" i="10"/>
  <c r="W31" i="10"/>
  <c r="U31" i="10"/>
  <c r="S31" i="10"/>
  <c r="Q31" i="10"/>
  <c r="O31" i="10"/>
  <c r="M31" i="10"/>
  <c r="K31" i="10"/>
  <c r="I31" i="10"/>
  <c r="G31" i="10"/>
  <c r="W29" i="10"/>
  <c r="U29" i="10"/>
  <c r="S29" i="10"/>
  <c r="M29" i="10"/>
  <c r="K29" i="10"/>
  <c r="G29" i="10"/>
  <c r="AG27" i="10"/>
  <c r="Y27" i="10"/>
  <c r="W27" i="10"/>
  <c r="U27" i="10"/>
  <c r="S27" i="10"/>
  <c r="Q27" i="10"/>
  <c r="O27" i="10"/>
  <c r="M27" i="10"/>
  <c r="K27" i="10"/>
  <c r="I27" i="10"/>
  <c r="G27" i="10"/>
  <c r="AG25" i="10"/>
  <c r="Y25" i="10"/>
  <c r="W25" i="10"/>
  <c r="U25" i="10"/>
  <c r="S25" i="10"/>
  <c r="Q25" i="10"/>
  <c r="O25" i="10"/>
  <c r="M25" i="10"/>
  <c r="K25" i="10"/>
  <c r="I25" i="10"/>
  <c r="G25" i="10"/>
  <c r="AG23" i="10"/>
  <c r="Y23" i="10"/>
  <c r="AB23" i="10" s="1"/>
  <c r="W23" i="10"/>
  <c r="U23" i="10"/>
  <c r="S23" i="10"/>
  <c r="Q23" i="10"/>
  <c r="O23" i="10"/>
  <c r="M23" i="10"/>
  <c r="K23" i="10"/>
  <c r="I23" i="10"/>
  <c r="G23" i="10"/>
  <c r="AG21" i="10"/>
  <c r="Y21" i="10"/>
  <c r="W21" i="10"/>
  <c r="U21" i="10"/>
  <c r="S21" i="10"/>
  <c r="Q21" i="10"/>
  <c r="O21" i="10"/>
  <c r="M21" i="10"/>
  <c r="K21" i="10"/>
  <c r="I21" i="10"/>
  <c r="G21" i="10"/>
  <c r="AG19" i="10"/>
  <c r="Y19" i="10"/>
  <c r="W19" i="10"/>
  <c r="U19" i="10"/>
  <c r="S19" i="10"/>
  <c r="Q19" i="10"/>
  <c r="O19" i="10"/>
  <c r="M19" i="10"/>
  <c r="K19" i="10"/>
  <c r="I19" i="10"/>
  <c r="G19" i="10"/>
  <c r="AG17" i="10"/>
  <c r="Y17" i="10"/>
  <c r="U17" i="10"/>
  <c r="S17" i="10"/>
  <c r="Q17" i="10"/>
  <c r="M17" i="10"/>
  <c r="K17" i="10"/>
  <c r="I17" i="10"/>
  <c r="AG15" i="10"/>
  <c r="Y15" i="10"/>
  <c r="AA15" i="10" s="1"/>
  <c r="AB15" i="10"/>
  <c r="W15" i="10"/>
  <c r="U15" i="10"/>
  <c r="S15" i="10"/>
  <c r="Q15" i="10"/>
  <c r="O15" i="10"/>
  <c r="M15" i="10"/>
  <c r="K15" i="10"/>
  <c r="I15" i="10"/>
  <c r="G15" i="10"/>
  <c r="AG13" i="10"/>
  <c r="Y13" i="10"/>
  <c r="AA13" i="10" s="1"/>
  <c r="W13" i="10"/>
  <c r="U13" i="10"/>
  <c r="S13" i="10"/>
  <c r="Q13" i="10"/>
  <c r="O13" i="10"/>
  <c r="M13" i="10"/>
  <c r="K13" i="10"/>
  <c r="I13" i="10"/>
  <c r="G13" i="10"/>
  <c r="Y11" i="10"/>
  <c r="AA11" i="10" s="1"/>
  <c r="W11" i="10"/>
  <c r="U11" i="10"/>
  <c r="Q11" i="10"/>
  <c r="O11" i="10"/>
  <c r="M11" i="10"/>
  <c r="I11" i="10"/>
  <c r="G11" i="10"/>
  <c r="AG9" i="10"/>
  <c r="W9" i="10"/>
  <c r="U9" i="10"/>
  <c r="S9" i="10"/>
  <c r="O9" i="10"/>
  <c r="M9" i="10"/>
  <c r="K9" i="10"/>
  <c r="G9" i="10"/>
  <c r="AG7" i="10"/>
  <c r="Y7" i="10"/>
  <c r="AB7" i="10" s="1"/>
  <c r="W7" i="10"/>
  <c r="U7" i="10"/>
  <c r="S7" i="10"/>
  <c r="Q7" i="10"/>
  <c r="O7" i="10"/>
  <c r="M7" i="10"/>
  <c r="K7" i="10"/>
  <c r="I7" i="10"/>
  <c r="G7" i="10"/>
  <c r="AG5" i="10"/>
  <c r="Y5" i="10"/>
  <c r="AB5" i="10" s="1"/>
  <c r="W5" i="10"/>
  <c r="U5" i="10"/>
  <c r="S5" i="10"/>
  <c r="Q5" i="10"/>
  <c r="O5" i="10"/>
  <c r="M5" i="10"/>
  <c r="K5" i="10"/>
  <c r="I5" i="10"/>
  <c r="G5" i="10"/>
  <c r="AG3" i="10"/>
  <c r="Y3" i="10"/>
  <c r="AB3" i="10" s="1"/>
  <c r="W3" i="10"/>
  <c r="U3" i="10"/>
  <c r="S3" i="10"/>
  <c r="Q3" i="10"/>
  <c r="O3" i="10"/>
  <c r="M3" i="10"/>
  <c r="K3" i="10"/>
  <c r="I3" i="10"/>
  <c r="G3" i="10"/>
  <c r="B19" i="3"/>
  <c r="C19" i="3"/>
  <c r="C13" i="3"/>
  <c r="B20" i="3"/>
  <c r="AE73" i="10"/>
  <c r="AE81" i="10"/>
  <c r="AF81" i="10"/>
  <c r="AF93" i="10"/>
  <c r="AB103" i="10"/>
  <c r="AA111" i="10"/>
  <c r="AE115" i="10"/>
  <c r="AA116" i="10"/>
  <c r="AB192" i="10"/>
  <c r="AE75" i="10"/>
  <c r="AF79" i="10"/>
  <c r="AF83" i="10"/>
  <c r="AE87" i="10"/>
  <c r="AF87" i="10"/>
  <c r="AE91" i="10"/>
  <c r="AF91" i="10"/>
  <c r="AE101" i="10"/>
  <c r="AF101" i="10"/>
  <c r="AE105" i="10"/>
  <c r="AF105" i="10"/>
  <c r="AB264" i="10"/>
  <c r="AB268" i="10"/>
  <c r="AA272" i="10"/>
  <c r="AB272" i="10"/>
  <c r="AE290" i="10"/>
  <c r="AF290" i="10"/>
  <c r="AF298" i="10"/>
  <c r="AB302" i="10"/>
  <c r="AE302" i="10"/>
  <c r="AE306" i="10"/>
  <c r="AF306" i="10"/>
  <c r="AE316" i="10"/>
  <c r="AF316" i="10"/>
  <c r="AE322" i="10"/>
  <c r="AF322" i="10"/>
  <c r="AA349" i="10"/>
  <c r="AE266" i="10"/>
  <c r="AB276" i="10"/>
  <c r="AE276" i="10"/>
  <c r="AE292" i="10"/>
  <c r="AF292" i="10"/>
  <c r="AE314" i="10"/>
  <c r="AF314" i="10"/>
  <c r="AF320" i="10"/>
  <c r="AB118" i="10"/>
  <c r="AA158" i="10"/>
  <c r="AB170" i="10"/>
  <c r="AB202" i="10"/>
  <c r="AA383" i="10"/>
  <c r="AA387" i="10"/>
  <c r="AE405" i="10"/>
  <c r="AF405" i="10"/>
  <c r="AE414" i="10"/>
  <c r="AF414" i="10"/>
  <c r="AE332" i="10"/>
  <c r="G368" i="10"/>
  <c r="S368" i="10"/>
  <c r="E364" i="10"/>
  <c r="H364" i="10"/>
  <c r="L364" i="10"/>
  <c r="P364" i="10"/>
  <c r="T364" i="10"/>
  <c r="X364" i="10"/>
  <c r="AG364" i="10"/>
  <c r="N345" i="10"/>
  <c r="V345" i="10"/>
  <c r="I340" i="10"/>
  <c r="M340" i="10"/>
  <c r="Q340" i="10"/>
  <c r="U340" i="10"/>
  <c r="Y340" i="10"/>
  <c r="R337" i="10"/>
  <c r="Z337" i="10"/>
  <c r="E330" i="10"/>
  <c r="H330" i="10"/>
  <c r="L330" i="10"/>
  <c r="P330" i="10"/>
  <c r="T330" i="10"/>
  <c r="X330" i="10"/>
  <c r="AG330" i="10"/>
  <c r="I323" i="10"/>
  <c r="M323" i="10"/>
  <c r="Q323" i="10"/>
  <c r="U323" i="10"/>
  <c r="Y323" i="10"/>
  <c r="AB323" i="10" s="1"/>
  <c r="G301" i="10"/>
  <c r="K301" i="10"/>
  <c r="O301" i="10"/>
  <c r="S301" i="10"/>
  <c r="W301" i="10"/>
  <c r="Z301" i="10"/>
  <c r="AC301" i="10" s="1"/>
  <c r="E301" i="10"/>
  <c r="H301" i="10"/>
  <c r="L301" i="10"/>
  <c r="P301" i="10"/>
  <c r="T301" i="10"/>
  <c r="X301" i="10"/>
  <c r="AG301" i="10"/>
  <c r="H299" i="10"/>
  <c r="E299" i="10"/>
  <c r="I299" i="10"/>
  <c r="H288" i="10"/>
  <c r="G283" i="10"/>
  <c r="E283" i="10"/>
  <c r="H283" i="10"/>
  <c r="H280" i="10"/>
  <c r="J280" i="10"/>
  <c r="Y422" i="10"/>
  <c r="U422" i="10"/>
  <c r="Q422" i="10"/>
  <c r="M422" i="10"/>
  <c r="I422" i="10"/>
  <c r="Z420" i="10"/>
  <c r="W420" i="10"/>
  <c r="S420" i="10"/>
  <c r="O420" i="10"/>
  <c r="K420" i="10"/>
  <c r="G420" i="10"/>
  <c r="X418" i="10"/>
  <c r="V415" i="10"/>
  <c r="N415" i="10"/>
  <c r="E415" i="10"/>
  <c r="AG414" i="10"/>
  <c r="X414" i="10"/>
  <c r="T414" i="10"/>
  <c r="P414" i="10"/>
  <c r="L414" i="10"/>
  <c r="H414" i="10"/>
  <c r="Z412" i="10"/>
  <c r="S412" i="10"/>
  <c r="O412" i="10"/>
  <c r="K412" i="10"/>
  <c r="X411" i="10"/>
  <c r="P411" i="10"/>
  <c r="Y410" i="10"/>
  <c r="AA410" i="10" s="1"/>
  <c r="U410" i="10"/>
  <c r="Q410" i="10"/>
  <c r="M410" i="10"/>
  <c r="E409" i="10"/>
  <c r="AG408" i="10"/>
  <c r="X408" i="10"/>
  <c r="P408" i="10"/>
  <c r="H408" i="10"/>
  <c r="Z406" i="10"/>
  <c r="AD406" i="10" s="1"/>
  <c r="W406" i="10"/>
  <c r="S406" i="10"/>
  <c r="O406" i="10"/>
  <c r="K406" i="10"/>
  <c r="G406" i="10"/>
  <c r="Z405" i="10"/>
  <c r="R405" i="10"/>
  <c r="J405" i="10"/>
  <c r="V403" i="10"/>
  <c r="N403" i="10"/>
  <c r="E403" i="10"/>
  <c r="AE403" i="10"/>
  <c r="X402" i="10"/>
  <c r="T402" i="10"/>
  <c r="L402" i="10"/>
  <c r="H402" i="10"/>
  <c r="Z400" i="10"/>
  <c r="X399" i="10"/>
  <c r="P399" i="10"/>
  <c r="Y398" i="10"/>
  <c r="U398" i="10"/>
  <c r="Q398" i="10"/>
  <c r="M398" i="10"/>
  <c r="I398" i="10"/>
  <c r="V397" i="10"/>
  <c r="N397" i="10"/>
  <c r="E397" i="10"/>
  <c r="AE397" i="10"/>
  <c r="L396" i="10"/>
  <c r="Z395" i="10"/>
  <c r="AD395" i="10" s="1"/>
  <c r="R395" i="10"/>
  <c r="Y392" i="10"/>
  <c r="U392" i="10"/>
  <c r="Q392" i="10"/>
  <c r="M392" i="10"/>
  <c r="I392" i="10"/>
  <c r="AF392" i="10"/>
  <c r="Z390" i="10"/>
  <c r="W390" i="10"/>
  <c r="S390" i="10"/>
  <c r="O390" i="10"/>
  <c r="K390" i="10"/>
  <c r="G390" i="10"/>
  <c r="Z389" i="10"/>
  <c r="AC389" i="10" s="1"/>
  <c r="N387" i="10"/>
  <c r="E387" i="10"/>
  <c r="X385" i="10"/>
  <c r="P385" i="10"/>
  <c r="U384" i="10"/>
  <c r="Q384" i="10"/>
  <c r="I384" i="10"/>
  <c r="V383" i="10"/>
  <c r="E383" i="10"/>
  <c r="AG382" i="10"/>
  <c r="X382" i="10"/>
  <c r="P382" i="10"/>
  <c r="L382" i="10"/>
  <c r="H382" i="10"/>
  <c r="J381" i="10"/>
  <c r="P379" i="10"/>
  <c r="Y378" i="10"/>
  <c r="U378" i="10"/>
  <c r="M378" i="10"/>
  <c r="I378" i="10"/>
  <c r="S376" i="10"/>
  <c r="K376" i="10"/>
  <c r="G376" i="10"/>
  <c r="J375" i="10"/>
  <c r="V373" i="10"/>
  <c r="N373" i="10"/>
  <c r="E373" i="10"/>
  <c r="AF373" i="10"/>
  <c r="AG372" i="10"/>
  <c r="AD372" i="10"/>
  <c r="X372" i="10"/>
  <c r="T372" i="10"/>
  <c r="P372" i="10"/>
  <c r="L372" i="10"/>
  <c r="H372" i="10"/>
  <c r="Y370" i="10"/>
  <c r="AA370" i="10" s="1"/>
  <c r="N370" i="10"/>
  <c r="T367" i="10"/>
  <c r="W366" i="10"/>
  <c r="L366" i="10"/>
  <c r="G366" i="10"/>
  <c r="T365" i="10"/>
  <c r="P363" i="10"/>
  <c r="E363" i="10"/>
  <c r="AE363" i="10"/>
  <c r="V361" i="10"/>
  <c r="X360" i="10"/>
  <c r="S360" i="10"/>
  <c r="N360" i="10"/>
  <c r="AG358" i="10"/>
  <c r="U358" i="10"/>
  <c r="P358" i="10"/>
  <c r="AF358" i="10"/>
  <c r="T357" i="10"/>
  <c r="X355" i="10"/>
  <c r="W354" i="10"/>
  <c r="R354" i="10"/>
  <c r="M354" i="10"/>
  <c r="G354" i="10"/>
  <c r="H352" i="10"/>
  <c r="V351" i="10"/>
  <c r="X350" i="10"/>
  <c r="N350" i="10"/>
  <c r="AG348" i="10"/>
  <c r="U348" i="10"/>
  <c r="P348" i="10"/>
  <c r="AF348" i="10"/>
  <c r="T347" i="10"/>
  <c r="Y344" i="10"/>
  <c r="AB344" i="10" s="1"/>
  <c r="S344" i="10"/>
  <c r="N344" i="10"/>
  <c r="V343" i="10"/>
  <c r="R341" i="10"/>
  <c r="R338" i="10"/>
  <c r="M338" i="10"/>
  <c r="H338" i="10"/>
  <c r="R335" i="10"/>
  <c r="G334" i="10"/>
  <c r="T333" i="10"/>
  <c r="W332" i="10"/>
  <c r="R332" i="10"/>
  <c r="L332" i="10"/>
  <c r="G332" i="10"/>
  <c r="T331" i="10"/>
  <c r="U329" i="10"/>
  <c r="P329" i="10"/>
  <c r="T328" i="10"/>
  <c r="AG327" i="10"/>
  <c r="U327" i="10"/>
  <c r="O327" i="10"/>
  <c r="Z326" i="10"/>
  <c r="V324" i="10"/>
  <c r="Z322" i="10"/>
  <c r="H322" i="10"/>
  <c r="R315" i="10"/>
  <c r="Y311" i="10"/>
  <c r="Q311" i="10"/>
  <c r="I311" i="10"/>
  <c r="L300" i="10"/>
  <c r="R297" i="10"/>
  <c r="H361" i="10"/>
  <c r="P361" i="10"/>
  <c r="X361" i="10"/>
  <c r="G358" i="10"/>
  <c r="K358" i="10"/>
  <c r="O358" i="10"/>
  <c r="S358" i="10"/>
  <c r="W358" i="10"/>
  <c r="Z358" i="10"/>
  <c r="E355" i="10"/>
  <c r="AE355" i="10"/>
  <c r="N355" i="10"/>
  <c r="V355" i="10"/>
  <c r="H351" i="10"/>
  <c r="P351" i="10"/>
  <c r="X351" i="10"/>
  <c r="G348" i="10"/>
  <c r="K348" i="10"/>
  <c r="O348" i="10"/>
  <c r="S348" i="10"/>
  <c r="W348" i="10"/>
  <c r="Z348" i="10"/>
  <c r="J343" i="10"/>
  <c r="R343" i="10"/>
  <c r="Z343" i="10"/>
  <c r="AC343" i="10" s="1"/>
  <c r="G329" i="10"/>
  <c r="K329" i="10"/>
  <c r="O329" i="10"/>
  <c r="W329" i="10"/>
  <c r="Z329" i="10"/>
  <c r="E327" i="10"/>
  <c r="H327" i="10"/>
  <c r="L327" i="10"/>
  <c r="P327" i="10"/>
  <c r="T327" i="10"/>
  <c r="X327" i="10"/>
  <c r="AG420" i="10"/>
  <c r="X420" i="10"/>
  <c r="T420" i="10"/>
  <c r="P420" i="10"/>
  <c r="L420" i="10"/>
  <c r="H420" i="10"/>
  <c r="E420" i="10"/>
  <c r="AF420" i="10"/>
  <c r="X415" i="10"/>
  <c r="P415" i="10"/>
  <c r="H415" i="10"/>
  <c r="AG412" i="10"/>
  <c r="T412" i="10"/>
  <c r="P412" i="10"/>
  <c r="L412" i="10"/>
  <c r="E412" i="10"/>
  <c r="H409" i="10"/>
  <c r="AG406" i="10"/>
  <c r="X406" i="10"/>
  <c r="T406" i="10"/>
  <c r="P406" i="10"/>
  <c r="L406" i="10"/>
  <c r="H406" i="10"/>
  <c r="E406" i="10"/>
  <c r="AE406" i="10"/>
  <c r="X403" i="10"/>
  <c r="P403" i="10"/>
  <c r="H403" i="10"/>
  <c r="P400" i="10"/>
  <c r="H400" i="10"/>
  <c r="X397" i="10"/>
  <c r="P397" i="10"/>
  <c r="H397" i="10"/>
  <c r="AG390" i="10"/>
  <c r="X390" i="10"/>
  <c r="T390" i="10"/>
  <c r="P390" i="10"/>
  <c r="L390" i="10"/>
  <c r="H390" i="10"/>
  <c r="E390" i="10"/>
  <c r="X387" i="10"/>
  <c r="P387" i="10"/>
  <c r="H387" i="10"/>
  <c r="P383" i="10"/>
  <c r="H383" i="10"/>
  <c r="AG376" i="10"/>
  <c r="T376" i="10"/>
  <c r="P376" i="10"/>
  <c r="E376" i="10"/>
  <c r="X373" i="10"/>
  <c r="P373" i="10"/>
  <c r="H373" i="10"/>
  <c r="X366" i="10"/>
  <c r="S366" i="10"/>
  <c r="N366" i="10"/>
  <c r="T363" i="10"/>
  <c r="H363" i="10"/>
  <c r="Y354" i="10"/>
  <c r="AA354" i="10" s="1"/>
  <c r="S354" i="10"/>
  <c r="N354" i="10"/>
  <c r="I354" i="10"/>
  <c r="I352" i="10"/>
  <c r="J341" i="10"/>
  <c r="Y338" i="10"/>
  <c r="AA338" i="10" s="1"/>
  <c r="T338" i="10"/>
  <c r="N338" i="10"/>
  <c r="E338" i="10"/>
  <c r="AF338" i="10"/>
  <c r="T335" i="10"/>
  <c r="J335" i="10"/>
  <c r="I334" i="10"/>
  <c r="X332" i="10"/>
  <c r="S332" i="10"/>
  <c r="N332" i="10"/>
  <c r="H332" i="10"/>
  <c r="V328" i="10"/>
  <c r="L328" i="10"/>
  <c r="J326" i="10"/>
  <c r="J322" i="10"/>
  <c r="R311" i="10"/>
  <c r="J311" i="10"/>
  <c r="N300" i="10"/>
  <c r="H370" i="10"/>
  <c r="L370" i="10"/>
  <c r="P370" i="10"/>
  <c r="X370" i="10"/>
  <c r="AG370" i="10"/>
  <c r="H367" i="10"/>
  <c r="P367" i="10"/>
  <c r="X367" i="10"/>
  <c r="E365" i="10"/>
  <c r="AE365" i="10"/>
  <c r="N365" i="10"/>
  <c r="V365" i="10"/>
  <c r="I360" i="10"/>
  <c r="M360" i="10"/>
  <c r="Q360" i="10"/>
  <c r="U360" i="10"/>
  <c r="Y360" i="10"/>
  <c r="AB360" i="10" s="1"/>
  <c r="J357" i="10"/>
  <c r="R357" i="10"/>
  <c r="Z357" i="10"/>
  <c r="I350" i="10"/>
  <c r="M350" i="10"/>
  <c r="Q350" i="10"/>
  <c r="Y350" i="10"/>
  <c r="AB350" i="10"/>
  <c r="J347" i="10"/>
  <c r="R347" i="10"/>
  <c r="Z347" i="10"/>
  <c r="AC347" i="10" s="1"/>
  <c r="E344" i="10"/>
  <c r="AE344" i="10"/>
  <c r="H344" i="10"/>
  <c r="L344" i="10"/>
  <c r="P344" i="10"/>
  <c r="T344" i="10"/>
  <c r="X344" i="10"/>
  <c r="AG344" i="10"/>
  <c r="H333" i="10"/>
  <c r="P333" i="10"/>
  <c r="X333" i="10"/>
  <c r="E331" i="10"/>
  <c r="N331" i="10"/>
  <c r="V331" i="10"/>
  <c r="L324" i="10"/>
  <c r="T324" i="10"/>
  <c r="H316" i="10"/>
  <c r="V316" i="10"/>
  <c r="J316" i="10"/>
  <c r="Z316" i="10"/>
  <c r="AD316" i="10" s="1"/>
  <c r="E315" i="10"/>
  <c r="H315" i="10"/>
  <c r="L315" i="10"/>
  <c r="P315" i="10"/>
  <c r="T315" i="10"/>
  <c r="X315" i="10"/>
  <c r="AG315" i="10"/>
  <c r="I315" i="10"/>
  <c r="M315" i="10"/>
  <c r="Q315" i="10"/>
  <c r="U315" i="10"/>
  <c r="Y315" i="10"/>
  <c r="H298" i="10"/>
  <c r="V298" i="10"/>
  <c r="J298" i="10"/>
  <c r="Z298" i="10"/>
  <c r="AD298" i="10"/>
  <c r="L297" i="10"/>
  <c r="P297" i="10"/>
  <c r="T297" i="10"/>
  <c r="I297" i="10"/>
  <c r="M297" i="10"/>
  <c r="U297" i="10"/>
  <c r="J296" i="10"/>
  <c r="R296" i="10"/>
  <c r="L296" i="10"/>
  <c r="T296" i="10"/>
  <c r="AG422" i="10"/>
  <c r="Z422" i="10"/>
  <c r="W422" i="10"/>
  <c r="S422" i="10"/>
  <c r="O422" i="10"/>
  <c r="K422" i="10"/>
  <c r="Y420" i="10"/>
  <c r="U420" i="10"/>
  <c r="Q420" i="10"/>
  <c r="M420" i="10"/>
  <c r="Z415" i="10"/>
  <c r="R415" i="10"/>
  <c r="U412" i="10"/>
  <c r="Q412" i="10"/>
  <c r="Z410" i="10"/>
  <c r="AC410" i="10"/>
  <c r="W410" i="10"/>
  <c r="S410" i="10"/>
  <c r="K410" i="10"/>
  <c r="Y406" i="10"/>
  <c r="AA406" i="10" s="1"/>
  <c r="U406" i="10"/>
  <c r="Q406" i="10"/>
  <c r="M406" i="10"/>
  <c r="V405" i="10"/>
  <c r="N405" i="10"/>
  <c r="Z403" i="10"/>
  <c r="AD403" i="10" s="1"/>
  <c r="R403" i="10"/>
  <c r="U400" i="10"/>
  <c r="Q400" i="10"/>
  <c r="Z398" i="10"/>
  <c r="W398" i="10"/>
  <c r="S398" i="10"/>
  <c r="O398" i="10"/>
  <c r="K398" i="10"/>
  <c r="Z397" i="10"/>
  <c r="R397" i="10"/>
  <c r="V395" i="10"/>
  <c r="Z392" i="10"/>
  <c r="W392" i="10"/>
  <c r="S392" i="10"/>
  <c r="O392" i="10"/>
  <c r="K392" i="10"/>
  <c r="Y390" i="10"/>
  <c r="AA390" i="10" s="1"/>
  <c r="U390" i="10"/>
  <c r="Q390" i="10"/>
  <c r="M390" i="10"/>
  <c r="V389" i="10"/>
  <c r="R387" i="10"/>
  <c r="S384" i="10"/>
  <c r="O384" i="10"/>
  <c r="K384" i="10"/>
  <c r="R383" i="10"/>
  <c r="W378" i="10"/>
  <c r="S378" i="10"/>
  <c r="O378" i="10"/>
  <c r="Y376" i="10"/>
  <c r="AB376" i="10" s="1"/>
  <c r="M376" i="10"/>
  <c r="Z373" i="10"/>
  <c r="R373" i="10"/>
  <c r="T366" i="10"/>
  <c r="O366" i="10"/>
  <c r="J366" i="10"/>
  <c r="V363" i="10"/>
  <c r="R361" i="10"/>
  <c r="E361" i="10"/>
  <c r="X358" i="10"/>
  <c r="R358" i="10"/>
  <c r="M358" i="10"/>
  <c r="H358" i="10"/>
  <c r="R355" i="10"/>
  <c r="H355" i="10"/>
  <c r="U354" i="10"/>
  <c r="O354" i="10"/>
  <c r="J352" i="10"/>
  <c r="E352" i="10"/>
  <c r="R351" i="10"/>
  <c r="E351" i="10"/>
  <c r="X348" i="10"/>
  <c r="R348" i="10"/>
  <c r="M348" i="10"/>
  <c r="H348" i="10"/>
  <c r="P343" i="10"/>
  <c r="E343" i="10"/>
  <c r="V341" i="10"/>
  <c r="AG338" i="10"/>
  <c r="U338" i="10"/>
  <c r="J334" i="10"/>
  <c r="E334" i="10"/>
  <c r="T332" i="10"/>
  <c r="O332" i="10"/>
  <c r="J332" i="10"/>
  <c r="X329" i="10"/>
  <c r="R329" i="10"/>
  <c r="H329" i="10"/>
  <c r="X328" i="10"/>
  <c r="W327" i="10"/>
  <c r="R327" i="10"/>
  <c r="M327" i="10"/>
  <c r="G327" i="10"/>
  <c r="R326" i="10"/>
  <c r="R322" i="10"/>
  <c r="U311" i="10"/>
  <c r="I366" i="10"/>
  <c r="M366" i="10"/>
  <c r="U366" i="10"/>
  <c r="Y366" i="10"/>
  <c r="AB366" i="10"/>
  <c r="J363" i="10"/>
  <c r="R363" i="10"/>
  <c r="Z363" i="10"/>
  <c r="AC363" i="10" s="1"/>
  <c r="E354" i="10"/>
  <c r="H354" i="10"/>
  <c r="L354" i="10"/>
  <c r="P354" i="10"/>
  <c r="T354" i="10"/>
  <c r="X354" i="10"/>
  <c r="AG354" i="10"/>
  <c r="X341" i="10"/>
  <c r="G338" i="10"/>
  <c r="O338" i="10"/>
  <c r="S338" i="10"/>
  <c r="W338" i="10"/>
  <c r="E335" i="10"/>
  <c r="N335" i="10"/>
  <c r="I332" i="10"/>
  <c r="M332" i="10"/>
  <c r="Q332" i="10"/>
  <c r="U332" i="10"/>
  <c r="Y332" i="10"/>
  <c r="J328" i="10"/>
  <c r="R328" i="10"/>
  <c r="Z328" i="10"/>
  <c r="G311" i="10"/>
  <c r="K311" i="10"/>
  <c r="O311" i="10"/>
  <c r="S311" i="10"/>
  <c r="W311" i="10"/>
  <c r="Z311" i="10"/>
  <c r="AD311" i="10"/>
  <c r="E311" i="10"/>
  <c r="AF311" i="10"/>
  <c r="H311" i="10"/>
  <c r="L311" i="10"/>
  <c r="P311" i="10"/>
  <c r="T311" i="10"/>
  <c r="X311" i="10"/>
  <c r="AG311" i="10"/>
  <c r="H300" i="10"/>
  <c r="P300" i="10"/>
  <c r="X300" i="10"/>
  <c r="R300" i="10"/>
  <c r="Z300" i="10"/>
  <c r="AD300" i="10" s="1"/>
  <c r="X242" i="10"/>
  <c r="G239" i="10"/>
  <c r="K239" i="10"/>
  <c r="O239" i="10"/>
  <c r="S239" i="10"/>
  <c r="W239" i="10"/>
  <c r="Z239" i="10"/>
  <c r="E236" i="10"/>
  <c r="N236" i="10"/>
  <c r="V236" i="10"/>
  <c r="J232" i="10"/>
  <c r="R232" i="10"/>
  <c r="Z232" i="10"/>
  <c r="AD232" i="10" s="1"/>
  <c r="E229" i="10"/>
  <c r="AF229" i="10"/>
  <c r="H229" i="10"/>
  <c r="L229" i="10"/>
  <c r="P229" i="10"/>
  <c r="T229" i="10"/>
  <c r="X229" i="10"/>
  <c r="AG229" i="10"/>
  <c r="I221" i="10"/>
  <c r="M221" i="10"/>
  <c r="U221" i="10"/>
  <c r="Y221" i="10"/>
  <c r="AA221" i="10"/>
  <c r="J218" i="10"/>
  <c r="R218" i="10"/>
  <c r="Z218" i="10"/>
  <c r="AC218" i="10" s="1"/>
  <c r="E208" i="10"/>
  <c r="H208" i="10"/>
  <c r="E207" i="10"/>
  <c r="AE207" i="10"/>
  <c r="H207" i="10"/>
  <c r="L207" i="10"/>
  <c r="P207" i="10"/>
  <c r="T207" i="10"/>
  <c r="X207" i="10"/>
  <c r="AG207" i="10"/>
  <c r="I207" i="10"/>
  <c r="M207" i="10"/>
  <c r="Q207" i="10"/>
  <c r="U207" i="10"/>
  <c r="Y207" i="10"/>
  <c r="AA207" i="10" s="1"/>
  <c r="AG317" i="10"/>
  <c r="W317" i="10"/>
  <c r="S317" i="10"/>
  <c r="K317" i="10"/>
  <c r="V312" i="10"/>
  <c r="Z305" i="10"/>
  <c r="AC305" i="10" s="1"/>
  <c r="W305" i="10"/>
  <c r="S305" i="10"/>
  <c r="O305" i="10"/>
  <c r="K305" i="10"/>
  <c r="X304" i="10"/>
  <c r="P304" i="10"/>
  <c r="AG303" i="10"/>
  <c r="Z303" i="10"/>
  <c r="W303" i="10"/>
  <c r="S303" i="10"/>
  <c r="O303" i="10"/>
  <c r="K303" i="10"/>
  <c r="V302" i="10"/>
  <c r="Y295" i="10"/>
  <c r="AB295" i="10"/>
  <c r="U295" i="10"/>
  <c r="Q295" i="10"/>
  <c r="M295" i="10"/>
  <c r="I295" i="10"/>
  <c r="N294" i="10"/>
  <c r="Z289" i="10"/>
  <c r="W289" i="10"/>
  <c r="S289" i="10"/>
  <c r="O289" i="10"/>
  <c r="K289" i="10"/>
  <c r="Y287" i="10"/>
  <c r="U287" i="10"/>
  <c r="Q287" i="10"/>
  <c r="M287" i="10"/>
  <c r="I287" i="10"/>
  <c r="V284" i="10"/>
  <c r="X282" i="10"/>
  <c r="P282" i="10"/>
  <c r="Z281" i="10"/>
  <c r="AD281" i="10" s="1"/>
  <c r="W281" i="10"/>
  <c r="X279" i="10"/>
  <c r="T279" i="10"/>
  <c r="P279" i="10"/>
  <c r="L279" i="10"/>
  <c r="H279" i="10"/>
  <c r="E279" i="10"/>
  <c r="N278" i="10"/>
  <c r="X276" i="10"/>
  <c r="P276" i="10"/>
  <c r="AG275" i="10"/>
  <c r="W275" i="10"/>
  <c r="S275" i="10"/>
  <c r="K275" i="10"/>
  <c r="J274" i="10"/>
  <c r="X273" i="10"/>
  <c r="P273" i="10"/>
  <c r="L273" i="10"/>
  <c r="H273" i="10"/>
  <c r="Z272" i="10"/>
  <c r="J272" i="10"/>
  <c r="Y271" i="10"/>
  <c r="U271" i="10"/>
  <c r="Q271" i="10"/>
  <c r="I271" i="10"/>
  <c r="T270" i="10"/>
  <c r="N268" i="10"/>
  <c r="V264" i="10"/>
  <c r="AG263" i="10"/>
  <c r="X263" i="10"/>
  <c r="P263" i="10"/>
  <c r="L263" i="10"/>
  <c r="H263" i="10"/>
  <c r="T262" i="10"/>
  <c r="L262" i="10"/>
  <c r="Y261" i="10"/>
  <c r="Q261" i="10"/>
  <c r="I261" i="10"/>
  <c r="Z257" i="10"/>
  <c r="AD257" i="10"/>
  <c r="W257" i="10"/>
  <c r="S257" i="10"/>
  <c r="O257" i="10"/>
  <c r="K257" i="10"/>
  <c r="J256" i="10"/>
  <c r="Y255" i="10"/>
  <c r="AB255" i="10" s="1"/>
  <c r="U255" i="10"/>
  <c r="Q255" i="10"/>
  <c r="M255" i="10"/>
  <c r="I255" i="10"/>
  <c r="X253" i="10"/>
  <c r="T253" i="10"/>
  <c r="P253" i="10"/>
  <c r="H253" i="10"/>
  <c r="E253" i="10"/>
  <c r="X250" i="10"/>
  <c r="P250" i="10"/>
  <c r="H250" i="10"/>
  <c r="Y249" i="10"/>
  <c r="U249" i="10"/>
  <c r="M249" i="10"/>
  <c r="I249" i="10"/>
  <c r="Z247" i="10"/>
  <c r="W247" i="10"/>
  <c r="S247" i="10"/>
  <c r="N247" i="10"/>
  <c r="H247" i="10"/>
  <c r="X246" i="10"/>
  <c r="W245" i="10"/>
  <c r="R245" i="10"/>
  <c r="M245" i="10"/>
  <c r="H244" i="10"/>
  <c r="T241" i="10"/>
  <c r="O241" i="10"/>
  <c r="J241" i="10"/>
  <c r="V238" i="10"/>
  <c r="Y235" i="10"/>
  <c r="S235" i="10"/>
  <c r="N235" i="10"/>
  <c r="I235" i="10"/>
  <c r="X233" i="10"/>
  <c r="R233" i="10"/>
  <c r="M233" i="10"/>
  <c r="T230" i="10"/>
  <c r="J230" i="10"/>
  <c r="AG227" i="10"/>
  <c r="U227" i="10"/>
  <c r="P227" i="10"/>
  <c r="P224" i="10"/>
  <c r="E222" i="10"/>
  <c r="R220" i="10"/>
  <c r="U219" i="10"/>
  <c r="O219" i="10"/>
  <c r="Y215" i="10"/>
  <c r="T215" i="10"/>
  <c r="N215" i="10"/>
  <c r="I215" i="10"/>
  <c r="P214" i="10"/>
  <c r="W211" i="10"/>
  <c r="R211" i="10"/>
  <c r="M211" i="10"/>
  <c r="T210" i="10"/>
  <c r="H210" i="10"/>
  <c r="J205" i="10"/>
  <c r="E246" i="10"/>
  <c r="AE246" i="10"/>
  <c r="N246" i="10"/>
  <c r="V246" i="10"/>
  <c r="I241" i="10"/>
  <c r="M241" i="10"/>
  <c r="Q241" i="10"/>
  <c r="U241" i="10"/>
  <c r="Y241" i="10"/>
  <c r="J238" i="10"/>
  <c r="R238" i="10"/>
  <c r="G227" i="10"/>
  <c r="K227" i="10"/>
  <c r="O227" i="10"/>
  <c r="S227" i="10"/>
  <c r="W227" i="10"/>
  <c r="Z227" i="10"/>
  <c r="E219" i="10"/>
  <c r="AF219" i="10"/>
  <c r="H219" i="10"/>
  <c r="L219" i="10"/>
  <c r="P219" i="10"/>
  <c r="T219" i="10"/>
  <c r="X219" i="10"/>
  <c r="AG219" i="10"/>
  <c r="V212" i="10"/>
  <c r="AF161" i="10"/>
  <c r="AE161" i="10"/>
  <c r="Y279" i="10"/>
  <c r="U279" i="10"/>
  <c r="Q279" i="10"/>
  <c r="M279" i="10"/>
  <c r="I279" i="10"/>
  <c r="Y273" i="10"/>
  <c r="U273" i="10"/>
  <c r="Q273" i="10"/>
  <c r="I273" i="10"/>
  <c r="N272" i="10"/>
  <c r="Y263" i="10"/>
  <c r="AA263" i="10" s="1"/>
  <c r="U263" i="10"/>
  <c r="Q263" i="10"/>
  <c r="M263" i="10"/>
  <c r="Y253" i="10"/>
  <c r="AA253" i="10" s="1"/>
  <c r="U253" i="10"/>
  <c r="Q253" i="10"/>
  <c r="I253" i="10"/>
  <c r="Z250" i="10"/>
  <c r="AD250" i="10" s="1"/>
  <c r="R250" i="10"/>
  <c r="J250" i="10"/>
  <c r="AG247" i="10"/>
  <c r="X247" i="10"/>
  <c r="T247" i="10"/>
  <c r="O247" i="10"/>
  <c r="J247" i="10"/>
  <c r="U235" i="10"/>
  <c r="O235" i="10"/>
  <c r="X230" i="10"/>
  <c r="AG215" i="10"/>
  <c r="P215" i="10"/>
  <c r="V210" i="10"/>
  <c r="U205" i="10"/>
  <c r="I247" i="10"/>
  <c r="M247" i="10"/>
  <c r="Q247" i="10"/>
  <c r="J244" i="10"/>
  <c r="E235" i="10"/>
  <c r="AF235" i="10"/>
  <c r="H235" i="10"/>
  <c r="L235" i="10"/>
  <c r="P235" i="10"/>
  <c r="T235" i="10"/>
  <c r="X235" i="10"/>
  <c r="AG235" i="10"/>
  <c r="E230" i="10"/>
  <c r="AF230" i="10"/>
  <c r="N230" i="10"/>
  <c r="V230" i="10"/>
  <c r="G215" i="10"/>
  <c r="K215" i="10"/>
  <c r="O215" i="10"/>
  <c r="W215" i="10"/>
  <c r="Z215" i="10"/>
  <c r="J210" i="10"/>
  <c r="R210" i="10"/>
  <c r="Z210" i="10"/>
  <c r="G205" i="10"/>
  <c r="K205" i="10"/>
  <c r="S205" i="10"/>
  <c r="W205" i="10"/>
  <c r="Z205" i="10"/>
  <c r="AC205" i="10" s="1"/>
  <c r="E205" i="10"/>
  <c r="H205" i="10"/>
  <c r="L205" i="10"/>
  <c r="T205" i="10"/>
  <c r="X205" i="10"/>
  <c r="AG205" i="10"/>
  <c r="E245" i="10"/>
  <c r="H245" i="10"/>
  <c r="L245" i="10"/>
  <c r="P245" i="10"/>
  <c r="T245" i="10"/>
  <c r="X245" i="10"/>
  <c r="AG245" i="10"/>
  <c r="G233" i="10"/>
  <c r="K233" i="10"/>
  <c r="O233" i="10"/>
  <c r="S233" i="10"/>
  <c r="W233" i="10"/>
  <c r="Z233" i="10"/>
  <c r="H226" i="10"/>
  <c r="X226" i="10"/>
  <c r="E225" i="10"/>
  <c r="I225" i="10"/>
  <c r="R224" i="10"/>
  <c r="Z224" i="10"/>
  <c r="E220" i="10"/>
  <c r="N220" i="10"/>
  <c r="V220" i="10"/>
  <c r="J214" i="10"/>
  <c r="R214" i="10"/>
  <c r="Z214" i="10"/>
  <c r="E211" i="10"/>
  <c r="H211" i="10"/>
  <c r="L211" i="10"/>
  <c r="P211" i="10"/>
  <c r="T211" i="10"/>
  <c r="X211" i="10"/>
  <c r="AG211" i="10"/>
  <c r="X295" i="10"/>
  <c r="T295" i="10"/>
  <c r="P295" i="10"/>
  <c r="L295" i="10"/>
  <c r="H295" i="10"/>
  <c r="Z294" i="10"/>
  <c r="AG287" i="10"/>
  <c r="X287" i="10"/>
  <c r="T287" i="10"/>
  <c r="P287" i="10"/>
  <c r="L287" i="10"/>
  <c r="H287" i="10"/>
  <c r="AG279" i="10"/>
  <c r="Z279" i="10"/>
  <c r="AC279" i="10" s="1"/>
  <c r="W279" i="10"/>
  <c r="S279" i="10"/>
  <c r="O279" i="10"/>
  <c r="K279" i="10"/>
  <c r="Z278" i="10"/>
  <c r="Z273" i="10"/>
  <c r="W273" i="10"/>
  <c r="S273" i="10"/>
  <c r="K273" i="10"/>
  <c r="V272" i="10"/>
  <c r="AG271" i="10"/>
  <c r="T271" i="10"/>
  <c r="P271" i="10"/>
  <c r="L271" i="10"/>
  <c r="Z270" i="10"/>
  <c r="R270" i="10"/>
  <c r="Z268" i="10"/>
  <c r="Z263" i="10"/>
  <c r="W263" i="10"/>
  <c r="S263" i="10"/>
  <c r="K263" i="10"/>
  <c r="Z262" i="10"/>
  <c r="AD262" i="10"/>
  <c r="R262" i="10"/>
  <c r="T261" i="10"/>
  <c r="P261" i="10"/>
  <c r="L261" i="10"/>
  <c r="AG255" i="10"/>
  <c r="X255" i="10"/>
  <c r="T255" i="10"/>
  <c r="P255" i="10"/>
  <c r="L255" i="10"/>
  <c r="H255" i="10"/>
  <c r="Z253" i="10"/>
  <c r="AC253" i="10" s="1"/>
  <c r="S253" i="10"/>
  <c r="O253" i="10"/>
  <c r="K253" i="10"/>
  <c r="V250" i="10"/>
  <c r="N250" i="10"/>
  <c r="AG249" i="10"/>
  <c r="X249" i="10"/>
  <c r="T249" i="10"/>
  <c r="P249" i="10"/>
  <c r="L249" i="10"/>
  <c r="H249" i="10"/>
  <c r="V247" i="10"/>
  <c r="R247" i="10"/>
  <c r="L247" i="10"/>
  <c r="G247" i="10"/>
  <c r="T246" i="10"/>
  <c r="J246" i="10"/>
  <c r="P244" i="10"/>
  <c r="E244" i="10"/>
  <c r="AF244" i="10"/>
  <c r="X241" i="10"/>
  <c r="S241" i="10"/>
  <c r="N241" i="10"/>
  <c r="H241" i="10"/>
  <c r="T238" i="10"/>
  <c r="H238" i="10"/>
  <c r="W235" i="10"/>
  <c r="R235" i="10"/>
  <c r="M235" i="10"/>
  <c r="G235" i="10"/>
  <c r="R230" i="10"/>
  <c r="H230" i="10"/>
  <c r="Y227" i="10"/>
  <c r="T227" i="10"/>
  <c r="N227" i="10"/>
  <c r="I227" i="10"/>
  <c r="E227" i="10"/>
  <c r="AF227" i="10"/>
  <c r="Y219" i="10"/>
  <c r="S219" i="10"/>
  <c r="N219" i="10"/>
  <c r="I219" i="10"/>
  <c r="X215" i="10"/>
  <c r="R215" i="10"/>
  <c r="M215" i="10"/>
  <c r="P210" i="10"/>
  <c r="E210" i="10"/>
  <c r="AE210" i="10"/>
  <c r="Y205" i="10"/>
  <c r="AA205" i="10"/>
  <c r="I205" i="10"/>
  <c r="E197" i="10"/>
  <c r="AE197" i="10"/>
  <c r="L197" i="10"/>
  <c r="P197" i="10"/>
  <c r="T197" i="10"/>
  <c r="AG197" i="10"/>
  <c r="E188" i="10"/>
  <c r="V188" i="10"/>
  <c r="H182" i="10"/>
  <c r="P182" i="10"/>
  <c r="X182" i="10"/>
  <c r="E180" i="10"/>
  <c r="AF180" i="10"/>
  <c r="N180" i="10"/>
  <c r="V180" i="10"/>
  <c r="I175" i="10"/>
  <c r="M175" i="10"/>
  <c r="Q175" i="10"/>
  <c r="U175" i="10"/>
  <c r="Y175" i="10"/>
  <c r="AB175" i="10"/>
  <c r="AD151" i="10"/>
  <c r="I151" i="10"/>
  <c r="M151" i="10"/>
  <c r="Q151" i="10"/>
  <c r="U151" i="10"/>
  <c r="Y151" i="10"/>
  <c r="AB151" i="10" s="1"/>
  <c r="E151" i="10"/>
  <c r="J151" i="10"/>
  <c r="O151" i="10"/>
  <c r="T151" i="10"/>
  <c r="H151" i="10"/>
  <c r="N151" i="10"/>
  <c r="S151" i="10"/>
  <c r="X151" i="10"/>
  <c r="G151" i="10"/>
  <c r="L151" i="10"/>
  <c r="R151" i="10"/>
  <c r="W151" i="10"/>
  <c r="AE137" i="10"/>
  <c r="AF137" i="10"/>
  <c r="V206" i="10"/>
  <c r="N206" i="10"/>
  <c r="Z203" i="10"/>
  <c r="AD203" i="10" s="1"/>
  <c r="W203" i="10"/>
  <c r="S203" i="10"/>
  <c r="O203" i="10"/>
  <c r="K203" i="10"/>
  <c r="G203" i="10"/>
  <c r="T202" i="10"/>
  <c r="J200" i="10"/>
  <c r="W199" i="10"/>
  <c r="R199" i="10"/>
  <c r="L199" i="10"/>
  <c r="P196" i="10"/>
  <c r="V194" i="10"/>
  <c r="X193" i="10"/>
  <c r="S193" i="10"/>
  <c r="N193" i="10"/>
  <c r="AG191" i="10"/>
  <c r="U191" i="10"/>
  <c r="P191" i="10"/>
  <c r="T186" i="10"/>
  <c r="J183" i="10"/>
  <c r="E183" i="10"/>
  <c r="T181" i="10"/>
  <c r="J181" i="10"/>
  <c r="Y179" i="10"/>
  <c r="N179" i="10"/>
  <c r="V178" i="10"/>
  <c r="R176" i="10"/>
  <c r="E176" i="10"/>
  <c r="AE176" i="10"/>
  <c r="Z174" i="10"/>
  <c r="AC174" i="10" s="1"/>
  <c r="W171" i="10"/>
  <c r="P171" i="10"/>
  <c r="X168" i="10"/>
  <c r="J166" i="10"/>
  <c r="W165" i="10"/>
  <c r="Q165" i="10"/>
  <c r="V161" i="10"/>
  <c r="O161" i="10"/>
  <c r="H161" i="10"/>
  <c r="P156" i="10"/>
  <c r="V155" i="10"/>
  <c r="H194" i="10"/>
  <c r="P194" i="10"/>
  <c r="X194" i="10"/>
  <c r="G191" i="10"/>
  <c r="K191" i="10"/>
  <c r="O191" i="10"/>
  <c r="S191" i="10"/>
  <c r="W191" i="10"/>
  <c r="Z191" i="10"/>
  <c r="AD191" i="10"/>
  <c r="E184" i="10"/>
  <c r="AE184" i="10"/>
  <c r="V184" i="10"/>
  <c r="I181" i="10"/>
  <c r="M181" i="10"/>
  <c r="U181" i="10"/>
  <c r="Y181" i="10"/>
  <c r="J178" i="10"/>
  <c r="Z178" i="10"/>
  <c r="J174" i="10"/>
  <c r="R174" i="10"/>
  <c r="H174" i="10"/>
  <c r="T174" i="10"/>
  <c r="H162" i="10"/>
  <c r="P162" i="10"/>
  <c r="X162" i="10"/>
  <c r="T162" i="10"/>
  <c r="Z166" i="10"/>
  <c r="L166" i="10"/>
  <c r="J161" i="10"/>
  <c r="J202" i="10"/>
  <c r="R202" i="10"/>
  <c r="Z202" i="10"/>
  <c r="E198" i="10"/>
  <c r="AF198" i="10"/>
  <c r="N198" i="10"/>
  <c r="V198" i="10"/>
  <c r="I193" i="10"/>
  <c r="M193" i="10"/>
  <c r="Q193" i="10"/>
  <c r="U193" i="10"/>
  <c r="Y193" i="10"/>
  <c r="J186" i="10"/>
  <c r="R186" i="10"/>
  <c r="Z186" i="10"/>
  <c r="E179" i="10"/>
  <c r="AF179" i="10"/>
  <c r="H179" i="10"/>
  <c r="L179" i="10"/>
  <c r="T179" i="10"/>
  <c r="X179" i="10"/>
  <c r="AG179" i="10"/>
  <c r="M171" i="10"/>
  <c r="Q171" i="10"/>
  <c r="U171" i="10"/>
  <c r="E171" i="10"/>
  <c r="J171" i="10"/>
  <c r="O171" i="10"/>
  <c r="T171" i="10"/>
  <c r="J168" i="10"/>
  <c r="R168" i="10"/>
  <c r="Z168" i="10"/>
  <c r="AC168" i="10" s="1"/>
  <c r="L168" i="10"/>
  <c r="V168" i="10"/>
  <c r="E165" i="10"/>
  <c r="AF165" i="10"/>
  <c r="H165" i="10"/>
  <c r="L165" i="10"/>
  <c r="P165" i="10"/>
  <c r="T165" i="10"/>
  <c r="X165" i="10"/>
  <c r="AG165" i="10"/>
  <c r="J165" i="10"/>
  <c r="O165" i="10"/>
  <c r="U165" i="10"/>
  <c r="E156" i="10"/>
  <c r="AF156" i="10"/>
  <c r="N156" i="10"/>
  <c r="V156" i="10"/>
  <c r="H156" i="10"/>
  <c r="R156" i="10"/>
  <c r="L156" i="10"/>
  <c r="X156" i="10"/>
  <c r="H155" i="10"/>
  <c r="L155" i="10"/>
  <c r="P155" i="10"/>
  <c r="X155" i="10"/>
  <c r="AG155" i="10"/>
  <c r="J155" i="10"/>
  <c r="U155" i="10"/>
  <c r="G155" i="10"/>
  <c r="M155" i="10"/>
  <c r="W155" i="10"/>
  <c r="J148" i="10"/>
  <c r="R148" i="10"/>
  <c r="Z148" i="10"/>
  <c r="L148" i="10"/>
  <c r="V148" i="10"/>
  <c r="H148" i="10"/>
  <c r="T148" i="10"/>
  <c r="E148" i="10"/>
  <c r="AE148" i="10"/>
  <c r="AF148" i="10"/>
  <c r="P148" i="10"/>
  <c r="R194" i="10"/>
  <c r="E194" i="10"/>
  <c r="X191" i="10"/>
  <c r="R191" i="10"/>
  <c r="M191" i="10"/>
  <c r="H191" i="10"/>
  <c r="AE185" i="10"/>
  <c r="R184" i="10"/>
  <c r="H184" i="10"/>
  <c r="W181" i="10"/>
  <c r="R181" i="10"/>
  <c r="L181" i="10"/>
  <c r="P178" i="10"/>
  <c r="E178" i="10"/>
  <c r="V176" i="10"/>
  <c r="V174" i="10"/>
  <c r="E174" i="10"/>
  <c r="AF174" i="10"/>
  <c r="V162" i="10"/>
  <c r="E162" i="10"/>
  <c r="AE162" i="10"/>
  <c r="AG161" i="10"/>
  <c r="S161" i="10"/>
  <c r="K161" i="10"/>
  <c r="I199" i="10"/>
  <c r="M199" i="10"/>
  <c r="Q199" i="10"/>
  <c r="U199" i="10"/>
  <c r="Y199" i="10"/>
  <c r="J196" i="10"/>
  <c r="R196" i="10"/>
  <c r="Z196" i="10"/>
  <c r="AD196" i="10" s="1"/>
  <c r="H176" i="10"/>
  <c r="P176" i="10"/>
  <c r="X176" i="10"/>
  <c r="E166" i="10"/>
  <c r="V166" i="10"/>
  <c r="H166" i="10"/>
  <c r="R166" i="10"/>
  <c r="AF163" i="10"/>
  <c r="AE163" i="10"/>
  <c r="I161" i="10"/>
  <c r="M161" i="10"/>
  <c r="Q161" i="10"/>
  <c r="U161" i="10"/>
  <c r="Y161" i="10"/>
  <c r="G161" i="10"/>
  <c r="L161" i="10"/>
  <c r="R161" i="10"/>
  <c r="W161" i="10"/>
  <c r="J158" i="10"/>
  <c r="R158" i="10"/>
  <c r="Z158" i="10"/>
  <c r="AD158" i="10" s="1"/>
  <c r="L158" i="10"/>
  <c r="V158" i="10"/>
  <c r="E158" i="10"/>
  <c r="AF158" i="10"/>
  <c r="P158" i="10"/>
  <c r="P202" i="10"/>
  <c r="E202" i="10"/>
  <c r="AF202" i="10"/>
  <c r="E200" i="10"/>
  <c r="R198" i="10"/>
  <c r="H198" i="10"/>
  <c r="T194" i="10"/>
  <c r="J194" i="10"/>
  <c r="W193" i="10"/>
  <c r="R193" i="10"/>
  <c r="L193" i="10"/>
  <c r="G193" i="10"/>
  <c r="Y191" i="10"/>
  <c r="T191" i="10"/>
  <c r="N191" i="10"/>
  <c r="I191" i="10"/>
  <c r="E191" i="10"/>
  <c r="AE191" i="10"/>
  <c r="T184" i="10"/>
  <c r="J184" i="10"/>
  <c r="X181" i="10"/>
  <c r="S181" i="10"/>
  <c r="N181" i="10"/>
  <c r="T178" i="10"/>
  <c r="H178" i="10"/>
  <c r="X174" i="10"/>
  <c r="L174" i="10"/>
  <c r="J156" i="10"/>
  <c r="S155" i="10"/>
  <c r="I155" i="10"/>
  <c r="N148" i="10"/>
  <c r="I139" i="10"/>
  <c r="M139" i="10"/>
  <c r="Q139" i="10"/>
  <c r="U139" i="10"/>
  <c r="Y139" i="10"/>
  <c r="AB139" i="10" s="1"/>
  <c r="J136" i="10"/>
  <c r="R136" i="10"/>
  <c r="Z136" i="10"/>
  <c r="J122" i="10"/>
  <c r="Z122" i="10"/>
  <c r="AD122" i="10" s="1"/>
  <c r="E122" i="10"/>
  <c r="AF122" i="10"/>
  <c r="N122" i="10"/>
  <c r="G110" i="10"/>
  <c r="K110" i="10"/>
  <c r="O110" i="10"/>
  <c r="S110" i="10"/>
  <c r="W110" i="10"/>
  <c r="Z110" i="10"/>
  <c r="AD110" i="10" s="1"/>
  <c r="I110" i="10"/>
  <c r="M110" i="10"/>
  <c r="Q110" i="10"/>
  <c r="U110" i="10"/>
  <c r="Y110" i="10"/>
  <c r="G108" i="10"/>
  <c r="K108" i="10"/>
  <c r="O108" i="10"/>
  <c r="S108" i="10"/>
  <c r="W108" i="10"/>
  <c r="Z108" i="10"/>
  <c r="AG108" i="10"/>
  <c r="I108" i="10"/>
  <c r="M108" i="10"/>
  <c r="Q108" i="10"/>
  <c r="U108" i="10"/>
  <c r="Y108" i="10"/>
  <c r="AB108" i="10" s="1"/>
  <c r="I102" i="10"/>
  <c r="M102" i="10"/>
  <c r="Q102" i="10"/>
  <c r="U102" i="10"/>
  <c r="Y102" i="10"/>
  <c r="AB102" i="10" s="1"/>
  <c r="G102" i="10"/>
  <c r="K102" i="10"/>
  <c r="O102" i="10"/>
  <c r="S102" i="10"/>
  <c r="W102" i="10"/>
  <c r="Z102" i="10"/>
  <c r="I100" i="10"/>
  <c r="M100" i="10"/>
  <c r="Q100" i="10"/>
  <c r="U100" i="10"/>
  <c r="Y100" i="10"/>
  <c r="G100" i="10"/>
  <c r="K100" i="10"/>
  <c r="O100" i="10"/>
  <c r="S100" i="10"/>
  <c r="W100" i="10"/>
  <c r="Z100" i="10"/>
  <c r="AD100" i="10" s="1"/>
  <c r="AG100" i="10"/>
  <c r="J97" i="10"/>
  <c r="E86" i="10"/>
  <c r="AE86" i="10"/>
  <c r="H86" i="10"/>
  <c r="L86" i="10"/>
  <c r="P86" i="10"/>
  <c r="T86" i="10"/>
  <c r="X86" i="10"/>
  <c r="G86" i="10"/>
  <c r="K86" i="10"/>
  <c r="O86" i="10"/>
  <c r="S86" i="10"/>
  <c r="W86" i="10"/>
  <c r="Z86" i="10"/>
  <c r="AG86" i="10"/>
  <c r="I86" i="10"/>
  <c r="M86" i="10"/>
  <c r="Q86" i="10"/>
  <c r="U86" i="10"/>
  <c r="Y86" i="10"/>
  <c r="AB86" i="10" s="1"/>
  <c r="J92" i="10"/>
  <c r="H172" i="10"/>
  <c r="P172" i="10"/>
  <c r="X172" i="10"/>
  <c r="K169" i="10"/>
  <c r="O169" i="10"/>
  <c r="S169" i="10"/>
  <c r="Z169" i="10"/>
  <c r="AD169" i="10"/>
  <c r="AC169" i="10"/>
  <c r="J164" i="10"/>
  <c r="R164" i="10"/>
  <c r="Z164" i="10"/>
  <c r="AC164" i="10" s="1"/>
  <c r="AD164" i="10"/>
  <c r="E149" i="10"/>
  <c r="H149" i="10"/>
  <c r="L149" i="10"/>
  <c r="P149" i="10"/>
  <c r="T149" i="10"/>
  <c r="X149" i="10"/>
  <c r="AG149" i="10"/>
  <c r="E133" i="10"/>
  <c r="AF133" i="10"/>
  <c r="L133" i="10"/>
  <c r="P133" i="10"/>
  <c r="T133" i="10"/>
  <c r="AG133" i="10"/>
  <c r="H130" i="10"/>
  <c r="P130" i="10"/>
  <c r="X130" i="10"/>
  <c r="E128" i="10"/>
  <c r="N128" i="10"/>
  <c r="V128" i="10"/>
  <c r="H107" i="10"/>
  <c r="V107" i="10"/>
  <c r="N107" i="10"/>
  <c r="N99" i="10"/>
  <c r="H99" i="10"/>
  <c r="V99" i="10"/>
  <c r="J87" i="10"/>
  <c r="R87" i="10"/>
  <c r="Z87" i="10"/>
  <c r="H87" i="10"/>
  <c r="P87" i="10"/>
  <c r="X87" i="10"/>
  <c r="L87" i="10"/>
  <c r="T87" i="10"/>
  <c r="AF62" i="10"/>
  <c r="AE62" i="10"/>
  <c r="Y159" i="10"/>
  <c r="AA159" i="10" s="1"/>
  <c r="T159" i="10"/>
  <c r="N159" i="10"/>
  <c r="I159" i="10"/>
  <c r="T154" i="10"/>
  <c r="J152" i="10"/>
  <c r="T150" i="10"/>
  <c r="V146" i="10"/>
  <c r="X145" i="10"/>
  <c r="S145" i="10"/>
  <c r="N145" i="10"/>
  <c r="AG143" i="10"/>
  <c r="U143" i="10"/>
  <c r="P143" i="10"/>
  <c r="AF143" i="10"/>
  <c r="T142" i="10"/>
  <c r="J140" i="10"/>
  <c r="W139" i="10"/>
  <c r="R139" i="10"/>
  <c r="L139" i="10"/>
  <c r="G139" i="10"/>
  <c r="Y137" i="10"/>
  <c r="T137" i="10"/>
  <c r="N137" i="10"/>
  <c r="I137" i="10"/>
  <c r="P136" i="10"/>
  <c r="E136" i="10"/>
  <c r="T134" i="10"/>
  <c r="AD132" i="10"/>
  <c r="Y131" i="10"/>
  <c r="T131" i="10"/>
  <c r="I131" i="10"/>
  <c r="T129" i="10"/>
  <c r="O129" i="10"/>
  <c r="Y127" i="10"/>
  <c r="S127" i="10"/>
  <c r="N127" i="10"/>
  <c r="V126" i="10"/>
  <c r="T123" i="10"/>
  <c r="L123" i="10"/>
  <c r="X122" i="10"/>
  <c r="R117" i="10"/>
  <c r="AG110" i="10"/>
  <c r="X110" i="10"/>
  <c r="P110" i="10"/>
  <c r="H110" i="10"/>
  <c r="X108" i="10"/>
  <c r="P108" i="10"/>
  <c r="H108" i="10"/>
  <c r="AG102" i="10"/>
  <c r="X102" i="10"/>
  <c r="P102" i="10"/>
  <c r="H102" i="10"/>
  <c r="X100" i="10"/>
  <c r="P100" i="10"/>
  <c r="H100" i="10"/>
  <c r="H146" i="10"/>
  <c r="P146" i="10"/>
  <c r="X146" i="10"/>
  <c r="G143" i="10"/>
  <c r="K143" i="10"/>
  <c r="O143" i="10"/>
  <c r="S143" i="10"/>
  <c r="W143" i="10"/>
  <c r="Z143" i="10"/>
  <c r="I129" i="10"/>
  <c r="M129" i="10"/>
  <c r="U129" i="10"/>
  <c r="Y129" i="10"/>
  <c r="AA129" i="10" s="1"/>
  <c r="J126" i="10"/>
  <c r="R126" i="10"/>
  <c r="Z126" i="10"/>
  <c r="G123" i="10"/>
  <c r="K123" i="10"/>
  <c r="O123" i="10"/>
  <c r="S123" i="10"/>
  <c r="W123" i="10"/>
  <c r="Z123" i="10"/>
  <c r="AC123" i="10" s="1"/>
  <c r="I123" i="10"/>
  <c r="M123" i="10"/>
  <c r="Q123" i="10"/>
  <c r="U123" i="10"/>
  <c r="Y123" i="10"/>
  <c r="AA123" i="10"/>
  <c r="G112" i="10"/>
  <c r="E112" i="10"/>
  <c r="I112" i="10"/>
  <c r="X139" i="10"/>
  <c r="S139" i="10"/>
  <c r="N139" i="10"/>
  <c r="H139" i="10"/>
  <c r="T136" i="10"/>
  <c r="H136" i="10"/>
  <c r="L122" i="10"/>
  <c r="G159" i="10"/>
  <c r="K159" i="10"/>
  <c r="O159" i="10"/>
  <c r="S159" i="10"/>
  <c r="W159" i="10"/>
  <c r="Z159" i="10"/>
  <c r="AC159" i="10" s="1"/>
  <c r="J154" i="10"/>
  <c r="Z154" i="10"/>
  <c r="E150" i="10"/>
  <c r="AE150" i="10"/>
  <c r="N150" i="10"/>
  <c r="I145" i="10"/>
  <c r="M145" i="10"/>
  <c r="Q145" i="10"/>
  <c r="U145" i="10"/>
  <c r="Y145" i="10"/>
  <c r="J142" i="10"/>
  <c r="Z142" i="10"/>
  <c r="G137" i="10"/>
  <c r="K137" i="10"/>
  <c r="O137" i="10"/>
  <c r="S137" i="10"/>
  <c r="W137" i="10"/>
  <c r="Z137" i="10"/>
  <c r="AC137" i="10" s="1"/>
  <c r="E134" i="10"/>
  <c r="N134" i="10"/>
  <c r="V134" i="10"/>
  <c r="G131" i="10"/>
  <c r="K131" i="10"/>
  <c r="S131" i="10"/>
  <c r="W131" i="10"/>
  <c r="Z131" i="10"/>
  <c r="AD131" i="10" s="1"/>
  <c r="E127" i="10"/>
  <c r="AE127" i="10"/>
  <c r="H127" i="10"/>
  <c r="L127" i="10"/>
  <c r="P127" i="10"/>
  <c r="T127" i="10"/>
  <c r="X127" i="10"/>
  <c r="AG127" i="10"/>
  <c r="E120" i="10"/>
  <c r="AE120" i="10"/>
  <c r="N120" i="10"/>
  <c r="V120" i="10"/>
  <c r="J120" i="10"/>
  <c r="R120" i="10"/>
  <c r="Z120" i="10"/>
  <c r="AD120" i="10" s="1"/>
  <c r="K117" i="10"/>
  <c r="O117" i="10"/>
  <c r="S117" i="10"/>
  <c r="Z117" i="10"/>
  <c r="I117" i="10"/>
  <c r="M117" i="10"/>
  <c r="U117" i="10"/>
  <c r="Y117" i="10"/>
  <c r="N115" i="10"/>
  <c r="Y115" i="10"/>
  <c r="H115" i="10"/>
  <c r="U115" i="10"/>
  <c r="H109" i="10"/>
  <c r="P109" i="10"/>
  <c r="X109" i="10"/>
  <c r="L109" i="10"/>
  <c r="T109" i="10"/>
  <c r="AB104" i="10"/>
  <c r="L101" i="10"/>
  <c r="T101" i="10"/>
  <c r="H101" i="10"/>
  <c r="P101" i="10"/>
  <c r="X101" i="10"/>
  <c r="E92" i="10"/>
  <c r="AF92" i="10"/>
  <c r="H92" i="10"/>
  <c r="L92" i="10"/>
  <c r="P92" i="10"/>
  <c r="T92" i="10"/>
  <c r="X92" i="10"/>
  <c r="AG92" i="10"/>
  <c r="G92" i="10"/>
  <c r="K92" i="10"/>
  <c r="O92" i="10"/>
  <c r="S92" i="10"/>
  <c r="W92" i="10"/>
  <c r="Z92" i="10"/>
  <c r="I92" i="10"/>
  <c r="M92" i="10"/>
  <c r="Q92" i="10"/>
  <c r="U92" i="10"/>
  <c r="Y92" i="10"/>
  <c r="R146" i="10"/>
  <c r="E146" i="10"/>
  <c r="AF146" i="10"/>
  <c r="X143" i="10"/>
  <c r="R143" i="10"/>
  <c r="M143" i="10"/>
  <c r="H143" i="10"/>
  <c r="T139" i="10"/>
  <c r="O139" i="10"/>
  <c r="J139" i="10"/>
  <c r="E139" i="10"/>
  <c r="AE139" i="10"/>
  <c r="V136" i="10"/>
  <c r="L136" i="10"/>
  <c r="R129" i="10"/>
  <c r="L129" i="10"/>
  <c r="G129" i="10"/>
  <c r="P126" i="10"/>
  <c r="E126" i="10"/>
  <c r="AF126" i="10"/>
  <c r="AG123" i="10"/>
  <c r="X123" i="10"/>
  <c r="P123" i="10"/>
  <c r="H123" i="10"/>
  <c r="P122" i="10"/>
  <c r="H112" i="10"/>
  <c r="T110" i="10"/>
  <c r="L110" i="10"/>
  <c r="E110" i="10"/>
  <c r="AF110" i="10"/>
  <c r="T108" i="10"/>
  <c r="L108" i="10"/>
  <c r="E108" i="10"/>
  <c r="AE108" i="10"/>
  <c r="T102" i="10"/>
  <c r="L102" i="10"/>
  <c r="E102" i="10"/>
  <c r="AE102" i="10"/>
  <c r="T100" i="10"/>
  <c r="L100" i="10"/>
  <c r="E100" i="10"/>
  <c r="AE100" i="10"/>
  <c r="E60" i="10"/>
  <c r="H60" i="10"/>
  <c r="L60" i="10"/>
  <c r="P60" i="10"/>
  <c r="T60" i="10"/>
  <c r="X60" i="10"/>
  <c r="AG60" i="10"/>
  <c r="G54" i="10"/>
  <c r="K54" i="10"/>
  <c r="O54" i="10"/>
  <c r="S54" i="10"/>
  <c r="W54" i="10"/>
  <c r="Z54" i="10"/>
  <c r="E50" i="10"/>
  <c r="AE50" i="10"/>
  <c r="H50" i="10"/>
  <c r="L50" i="10"/>
  <c r="P50" i="10"/>
  <c r="T50" i="10"/>
  <c r="X50" i="10"/>
  <c r="AG50" i="10"/>
  <c r="H39" i="10"/>
  <c r="P39" i="10"/>
  <c r="X39" i="10"/>
  <c r="E37" i="10"/>
  <c r="N37" i="10"/>
  <c r="V37" i="10"/>
  <c r="J35" i="10"/>
  <c r="R35" i="10"/>
  <c r="Z35" i="10"/>
  <c r="AC35" i="10" s="1"/>
  <c r="E35" i="10"/>
  <c r="N35" i="10"/>
  <c r="V35" i="10"/>
  <c r="I32" i="10"/>
  <c r="M32" i="10"/>
  <c r="Q32" i="10"/>
  <c r="U32" i="10"/>
  <c r="Y32" i="10"/>
  <c r="AB32" i="10" s="1"/>
  <c r="G32" i="10"/>
  <c r="K32" i="10"/>
  <c r="O32" i="10"/>
  <c r="S32" i="10"/>
  <c r="W32" i="10"/>
  <c r="Z32" i="10"/>
  <c r="AC32" i="10" s="1"/>
  <c r="I28" i="10"/>
  <c r="M28" i="10"/>
  <c r="Q28" i="10"/>
  <c r="U28" i="10"/>
  <c r="Y28" i="10"/>
  <c r="G28" i="10"/>
  <c r="L28" i="10"/>
  <c r="R28" i="10"/>
  <c r="W28" i="10"/>
  <c r="E28" i="10"/>
  <c r="AF28" i="10"/>
  <c r="J28" i="10"/>
  <c r="O28" i="10"/>
  <c r="T28" i="10"/>
  <c r="X95" i="10"/>
  <c r="P95" i="10"/>
  <c r="H95" i="10"/>
  <c r="AG94" i="10"/>
  <c r="Z94" i="10"/>
  <c r="W94" i="10"/>
  <c r="S94" i="10"/>
  <c r="O94" i="10"/>
  <c r="K94" i="10"/>
  <c r="G94" i="10"/>
  <c r="V89" i="10"/>
  <c r="H89" i="10"/>
  <c r="AE84" i="10"/>
  <c r="Z84" i="10"/>
  <c r="AC84" i="10" s="1"/>
  <c r="W84" i="10"/>
  <c r="S84" i="10"/>
  <c r="O84" i="10"/>
  <c r="K84" i="10"/>
  <c r="G84" i="10"/>
  <c r="N81" i="10"/>
  <c r="X79" i="10"/>
  <c r="P79" i="10"/>
  <c r="H79" i="10"/>
  <c r="AG78" i="10"/>
  <c r="Z78" i="10"/>
  <c r="AC78" i="10"/>
  <c r="W78" i="10"/>
  <c r="S78" i="10"/>
  <c r="O78" i="10"/>
  <c r="K78" i="10"/>
  <c r="G78" i="10"/>
  <c r="Y76" i="10"/>
  <c r="AA76" i="10" s="1"/>
  <c r="U76" i="10"/>
  <c r="Q76" i="10"/>
  <c r="M76" i="10"/>
  <c r="I76" i="10"/>
  <c r="V73" i="10"/>
  <c r="H73" i="10"/>
  <c r="Z70" i="10"/>
  <c r="W70" i="10"/>
  <c r="O70" i="10"/>
  <c r="K70" i="10"/>
  <c r="G70" i="10"/>
  <c r="R69" i="10"/>
  <c r="V67" i="10"/>
  <c r="N67" i="10"/>
  <c r="E67" i="10"/>
  <c r="AD66" i="10"/>
  <c r="Z64" i="10"/>
  <c r="AC64" i="10" s="1"/>
  <c r="W64" i="10"/>
  <c r="S64" i="10"/>
  <c r="O64" i="10"/>
  <c r="K64" i="10"/>
  <c r="G64" i="10"/>
  <c r="Y62" i="10"/>
  <c r="AA62" i="10" s="1"/>
  <c r="U62" i="10"/>
  <c r="Q62" i="10"/>
  <c r="L62" i="10"/>
  <c r="G62" i="10"/>
  <c r="V57" i="10"/>
  <c r="V47" i="10"/>
  <c r="AG44" i="10"/>
  <c r="U44" i="10"/>
  <c r="P44" i="10"/>
  <c r="X41" i="10"/>
  <c r="J40" i="10"/>
  <c r="E40" i="10"/>
  <c r="T38" i="10"/>
  <c r="O38" i="10"/>
  <c r="J38" i="10"/>
  <c r="T30" i="10"/>
  <c r="L30" i="10"/>
  <c r="H57" i="10"/>
  <c r="P57" i="10"/>
  <c r="X57" i="10"/>
  <c r="H47" i="10"/>
  <c r="P47" i="10"/>
  <c r="X47" i="10"/>
  <c r="G44" i="10"/>
  <c r="K44" i="10"/>
  <c r="O44" i="10"/>
  <c r="S44" i="10"/>
  <c r="W44" i="10"/>
  <c r="Z44" i="10"/>
  <c r="E41" i="10"/>
  <c r="AE41" i="10"/>
  <c r="AF41" i="10"/>
  <c r="N41" i="10"/>
  <c r="V41" i="10"/>
  <c r="I38" i="10"/>
  <c r="M38" i="10"/>
  <c r="Q38" i="10"/>
  <c r="U38" i="10"/>
  <c r="Y38" i="10"/>
  <c r="G30" i="10"/>
  <c r="K30" i="10"/>
  <c r="O30" i="10"/>
  <c r="S30" i="10"/>
  <c r="W30" i="10"/>
  <c r="Z30" i="10"/>
  <c r="I30" i="10"/>
  <c r="M30" i="10"/>
  <c r="Q30" i="10"/>
  <c r="U30" i="10"/>
  <c r="Y30" i="10"/>
  <c r="J25" i="10"/>
  <c r="R25" i="10"/>
  <c r="Z25" i="10"/>
  <c r="AD25" i="10" s="1"/>
  <c r="E25" i="10"/>
  <c r="AF25" i="10"/>
  <c r="P25" i="10"/>
  <c r="L25" i="10"/>
  <c r="V25" i="10"/>
  <c r="E61" i="10"/>
  <c r="AE61" i="10"/>
  <c r="AF61" i="10"/>
  <c r="N61" i="10"/>
  <c r="V61" i="10"/>
  <c r="H53" i="10"/>
  <c r="P53" i="10"/>
  <c r="X53" i="10"/>
  <c r="E51" i="10"/>
  <c r="N51" i="10"/>
  <c r="V51" i="10"/>
  <c r="I46" i="10"/>
  <c r="M46" i="10"/>
  <c r="Q46" i="10"/>
  <c r="U46" i="10"/>
  <c r="Y46" i="10"/>
  <c r="AA46" i="10" s="1"/>
  <c r="J43" i="10"/>
  <c r="R43" i="10"/>
  <c r="Z43" i="10"/>
  <c r="AD43" i="10" s="1"/>
  <c r="AD34" i="10"/>
  <c r="AG119" i="10"/>
  <c r="X119" i="10"/>
  <c r="T119" i="10"/>
  <c r="P119" i="10"/>
  <c r="L119" i="10"/>
  <c r="H119" i="10"/>
  <c r="X116" i="10"/>
  <c r="P116" i="10"/>
  <c r="AG106" i="10"/>
  <c r="X106" i="10"/>
  <c r="T106" i="10"/>
  <c r="P106" i="10"/>
  <c r="L106" i="10"/>
  <c r="H106" i="10"/>
  <c r="Z105" i="10"/>
  <c r="R105" i="10"/>
  <c r="X104" i="10"/>
  <c r="T104" i="10"/>
  <c r="P104" i="10"/>
  <c r="L104" i="10"/>
  <c r="H104" i="10"/>
  <c r="Z103" i="10"/>
  <c r="AC103" i="10" s="1"/>
  <c r="AG96" i="10"/>
  <c r="X96" i="10"/>
  <c r="T96" i="10"/>
  <c r="P96" i="10"/>
  <c r="L96" i="10"/>
  <c r="H96" i="10"/>
  <c r="T95" i="10"/>
  <c r="Y94" i="10"/>
  <c r="AA94" i="10" s="1"/>
  <c r="U94" i="10"/>
  <c r="Q94" i="10"/>
  <c r="M94" i="10"/>
  <c r="Z91" i="10"/>
  <c r="R91" i="10"/>
  <c r="X90" i="10"/>
  <c r="T90" i="10"/>
  <c r="P90" i="10"/>
  <c r="L90" i="10"/>
  <c r="H90" i="10"/>
  <c r="Z85" i="10"/>
  <c r="Y84" i="10"/>
  <c r="AB84" i="10" s="1"/>
  <c r="U84" i="10"/>
  <c r="Q84" i="10"/>
  <c r="M84" i="10"/>
  <c r="V81" i="10"/>
  <c r="H81" i="10"/>
  <c r="AG80" i="10"/>
  <c r="X80" i="10"/>
  <c r="T80" i="10"/>
  <c r="P80" i="10"/>
  <c r="L80" i="10"/>
  <c r="H80" i="10"/>
  <c r="T79" i="10"/>
  <c r="Y78" i="10"/>
  <c r="AA78" i="10" s="1"/>
  <c r="U78" i="10"/>
  <c r="Q78" i="10"/>
  <c r="M78" i="10"/>
  <c r="Z76" i="10"/>
  <c r="W76" i="10"/>
  <c r="S76" i="10"/>
  <c r="O76" i="10"/>
  <c r="K76" i="10"/>
  <c r="G76" i="10"/>
  <c r="Z75" i="10"/>
  <c r="AD75" i="10"/>
  <c r="R75" i="10"/>
  <c r="X74" i="10"/>
  <c r="T74" i="10"/>
  <c r="P74" i="10"/>
  <c r="L74" i="10"/>
  <c r="H74" i="10"/>
  <c r="Y70" i="10"/>
  <c r="Q70" i="10"/>
  <c r="M70" i="10"/>
  <c r="V69" i="10"/>
  <c r="X68" i="10"/>
  <c r="T68" i="10"/>
  <c r="P68" i="10"/>
  <c r="H68" i="10"/>
  <c r="Z67" i="10"/>
  <c r="AD67" i="10"/>
  <c r="R67" i="10"/>
  <c r="X65" i="10"/>
  <c r="P65" i="10"/>
  <c r="Y64" i="10"/>
  <c r="AA64" i="10" s="1"/>
  <c r="U64" i="10"/>
  <c r="Q64" i="10"/>
  <c r="M64" i="10"/>
  <c r="Z62" i="10"/>
  <c r="AD62" i="10" s="1"/>
  <c r="W62" i="10"/>
  <c r="S62" i="10"/>
  <c r="O62" i="10"/>
  <c r="J62" i="10"/>
  <c r="Y60" i="10"/>
  <c r="S60" i="10"/>
  <c r="N60" i="10"/>
  <c r="I60" i="10"/>
  <c r="V59" i="10"/>
  <c r="R57" i="10"/>
  <c r="E57" i="10"/>
  <c r="Y54" i="10"/>
  <c r="T54" i="10"/>
  <c r="N54" i="10"/>
  <c r="I54" i="10"/>
  <c r="E54" i="10"/>
  <c r="AE54" i="10"/>
  <c r="T52" i="10"/>
  <c r="O52" i="10"/>
  <c r="J52" i="10"/>
  <c r="Y50" i="10"/>
  <c r="AA50" i="10"/>
  <c r="S50" i="10"/>
  <c r="N50" i="10"/>
  <c r="I50" i="10"/>
  <c r="V49" i="10"/>
  <c r="AA48" i="10"/>
  <c r="R47" i="10"/>
  <c r="E47" i="10"/>
  <c r="AF47" i="10"/>
  <c r="AE47" i="10"/>
  <c r="X44" i="10"/>
  <c r="R44" i="10"/>
  <c r="M44" i="10"/>
  <c r="H44" i="10"/>
  <c r="R41" i="10"/>
  <c r="H41" i="10"/>
  <c r="G40" i="10"/>
  <c r="T39" i="10"/>
  <c r="J39" i="10"/>
  <c r="W38" i="10"/>
  <c r="R38" i="10"/>
  <c r="L38" i="10"/>
  <c r="G38" i="10"/>
  <c r="T37" i="10"/>
  <c r="J37" i="10"/>
  <c r="L35" i="10"/>
  <c r="R32" i="10"/>
  <c r="J32" i="10"/>
  <c r="AG30" i="10"/>
  <c r="X30" i="10"/>
  <c r="P30" i="10"/>
  <c r="H30" i="10"/>
  <c r="AG28" i="10"/>
  <c r="V28" i="10"/>
  <c r="K28" i="10"/>
  <c r="H25" i="10"/>
  <c r="I62" i="10"/>
  <c r="M62" i="10"/>
  <c r="I52" i="10"/>
  <c r="M52" i="10"/>
  <c r="Q52" i="10"/>
  <c r="U52" i="10"/>
  <c r="Y52" i="10"/>
  <c r="AB52" i="10" s="1"/>
  <c r="J49" i="10"/>
  <c r="R49" i="10"/>
  <c r="Z49" i="10"/>
  <c r="Z81" i="10"/>
  <c r="AC81" i="10" s="1"/>
  <c r="AG76" i="10"/>
  <c r="X76" i="10"/>
  <c r="T76" i="10"/>
  <c r="P76" i="10"/>
  <c r="L76" i="10"/>
  <c r="H76" i="10"/>
  <c r="T57" i="10"/>
  <c r="J57" i="10"/>
  <c r="AG54" i="10"/>
  <c r="U54" i="10"/>
  <c r="P54" i="10"/>
  <c r="J54" i="10"/>
  <c r="U50" i="10"/>
  <c r="O50" i="10"/>
  <c r="J50" i="10"/>
  <c r="T47" i="10"/>
  <c r="J47" i="10"/>
  <c r="Y44" i="10"/>
  <c r="T44" i="10"/>
  <c r="N44" i="10"/>
  <c r="I44" i="10"/>
  <c r="E44" i="10"/>
  <c r="AF44" i="10"/>
  <c r="T41" i="10"/>
  <c r="J41" i="10"/>
  <c r="I40" i="10"/>
  <c r="V39" i="10"/>
  <c r="L39" i="10"/>
  <c r="X38" i="10"/>
  <c r="S38" i="10"/>
  <c r="N38" i="10"/>
  <c r="H38" i="10"/>
  <c r="R30" i="10"/>
  <c r="J30" i="10"/>
  <c r="N25" i="10"/>
  <c r="G26" i="10"/>
  <c r="K26" i="10"/>
  <c r="O26" i="10"/>
  <c r="S26" i="10"/>
  <c r="W26" i="10"/>
  <c r="Z26" i="10"/>
  <c r="AD26" i="10" s="1"/>
  <c r="E23" i="10"/>
  <c r="AF23" i="10"/>
  <c r="N23" i="10"/>
  <c r="V23" i="10"/>
  <c r="G20" i="10"/>
  <c r="K20" i="10"/>
  <c r="O20" i="10"/>
  <c r="S20" i="10"/>
  <c r="W20" i="10"/>
  <c r="Z20" i="10"/>
  <c r="AC20" i="10" s="1"/>
  <c r="I16" i="10"/>
  <c r="M16" i="10"/>
  <c r="Q16" i="10"/>
  <c r="U16" i="10"/>
  <c r="Y16" i="10"/>
  <c r="E11" i="10"/>
  <c r="AF11" i="10"/>
  <c r="N11" i="10"/>
  <c r="V11" i="10"/>
  <c r="P11" i="10"/>
  <c r="X11" i="10"/>
  <c r="E10" i="10"/>
  <c r="AF10" i="10"/>
  <c r="H10" i="10"/>
  <c r="L10" i="10"/>
  <c r="P10" i="10"/>
  <c r="T10" i="10"/>
  <c r="X10" i="10"/>
  <c r="AG10" i="10"/>
  <c r="I10" i="10"/>
  <c r="M10" i="10"/>
  <c r="Q10" i="10"/>
  <c r="U10" i="10"/>
  <c r="Y10" i="10"/>
  <c r="H5" i="10"/>
  <c r="P5" i="10"/>
  <c r="X5" i="10"/>
  <c r="J5" i="10"/>
  <c r="R5" i="10"/>
  <c r="Z5" i="10"/>
  <c r="AC5" i="10" s="1"/>
  <c r="AD5" i="10"/>
  <c r="V19" i="10"/>
  <c r="R17" i="10"/>
  <c r="G14" i="10"/>
  <c r="AD10" i="10"/>
  <c r="Q8" i="10"/>
  <c r="I8" i="10"/>
  <c r="J19" i="10"/>
  <c r="R19" i="10"/>
  <c r="Z19" i="10"/>
  <c r="AC19" i="10" s="1"/>
  <c r="E3" i="10"/>
  <c r="N3" i="10"/>
  <c r="V3" i="10"/>
  <c r="H3" i="10"/>
  <c r="P3" i="10"/>
  <c r="X3" i="10"/>
  <c r="T17" i="10"/>
  <c r="J17" i="10"/>
  <c r="J8" i="10"/>
  <c r="E22" i="10"/>
  <c r="AF22" i="10"/>
  <c r="H22" i="10"/>
  <c r="L22" i="10"/>
  <c r="P22" i="10"/>
  <c r="T22" i="10"/>
  <c r="X22" i="10"/>
  <c r="AG22" i="10"/>
  <c r="E15" i="10"/>
  <c r="AE15" i="10"/>
  <c r="N15" i="10"/>
  <c r="V15" i="10"/>
  <c r="H15" i="10"/>
  <c r="P15" i="10"/>
  <c r="X15" i="10"/>
  <c r="AG36" i="10"/>
  <c r="X36" i="10"/>
  <c r="T36" i="10"/>
  <c r="P36" i="10"/>
  <c r="L36" i="10"/>
  <c r="H36" i="10"/>
  <c r="X33" i="10"/>
  <c r="P33" i="10"/>
  <c r="R29" i="10"/>
  <c r="J29" i="10"/>
  <c r="Y26" i="10"/>
  <c r="T26" i="10"/>
  <c r="N26" i="10"/>
  <c r="I26" i="10"/>
  <c r="E26" i="10"/>
  <c r="AE26" i="10"/>
  <c r="T23" i="10"/>
  <c r="J23" i="10"/>
  <c r="Y20" i="10"/>
  <c r="AB20" i="10" s="1"/>
  <c r="T20" i="10"/>
  <c r="N20" i="10"/>
  <c r="I20" i="10"/>
  <c r="E20" i="10"/>
  <c r="AF20" i="10"/>
  <c r="P19" i="10"/>
  <c r="E19" i="10"/>
  <c r="X16" i="10"/>
  <c r="S16" i="10"/>
  <c r="N16" i="10"/>
  <c r="H16" i="10"/>
  <c r="L11" i="10"/>
  <c r="R10" i="10"/>
  <c r="J10" i="10"/>
  <c r="U8" i="10"/>
  <c r="Z3" i="10"/>
  <c r="AC3" i="10" s="1"/>
  <c r="J3" i="10"/>
  <c r="C7" i="3"/>
  <c r="H17" i="10"/>
  <c r="P17" i="10"/>
  <c r="X17" i="10"/>
  <c r="H14" i="10"/>
  <c r="E14" i="10"/>
  <c r="I14" i="10"/>
  <c r="G8" i="10"/>
  <c r="O8" i="10"/>
  <c r="S8" i="10"/>
  <c r="W8" i="10"/>
  <c r="E8" i="10"/>
  <c r="H8" i="10"/>
  <c r="L8" i="10"/>
  <c r="T8" i="10"/>
  <c r="X8" i="10"/>
  <c r="AG8" i="10"/>
  <c r="L3" i="10"/>
  <c r="Z13" i="10"/>
  <c r="AD13" i="10" s="1"/>
  <c r="R13" i="10"/>
  <c r="Z7" i="10"/>
  <c r="R7" i="10"/>
  <c r="Y4" i="10"/>
  <c r="Q4" i="10"/>
  <c r="M4" i="10"/>
  <c r="AE25" i="10"/>
  <c r="AF50" i="10"/>
  <c r="AF108" i="10"/>
  <c r="AF150" i="10"/>
  <c r="AF86" i="10"/>
  <c r="AF151" i="10"/>
  <c r="AE151" i="10"/>
  <c r="AA175" i="10"/>
  <c r="AF197" i="10"/>
  <c r="AF210" i="10"/>
  <c r="AE236" i="10"/>
  <c r="AF236" i="10"/>
  <c r="AC300" i="10"/>
  <c r="AE343" i="10"/>
  <c r="AF343" i="10"/>
  <c r="AE331" i="10"/>
  <c r="AF331" i="10"/>
  <c r="AF390" i="10"/>
  <c r="AE390" i="10"/>
  <c r="AF363" i="10"/>
  <c r="AF403" i="10"/>
  <c r="AD301" i="10"/>
  <c r="AE20" i="10"/>
  <c r="AE11" i="10"/>
  <c r="AB123" i="10"/>
  <c r="AE122" i="10"/>
  <c r="AF191" i="10"/>
  <c r="AE158" i="10"/>
  <c r="AE194" i="10"/>
  <c r="AF194" i="10"/>
  <c r="AE180" i="10"/>
  <c r="AA219" i="10"/>
  <c r="AB219" i="10"/>
  <c r="AF220" i="10"/>
  <c r="AE220" i="10"/>
  <c r="AE230" i="10"/>
  <c r="AE219" i="10"/>
  <c r="AC257" i="10"/>
  <c r="AC311" i="10"/>
  <c r="AE338" i="10"/>
  <c r="AE420" i="10"/>
  <c r="AB370" i="10"/>
  <c r="AE387" i="10"/>
  <c r="AF387" i="10"/>
  <c r="AF397" i="10"/>
  <c r="AE415" i="10"/>
  <c r="AF415" i="10"/>
  <c r="AF364" i="10"/>
  <c r="AE364" i="10"/>
  <c r="AE22" i="10"/>
  <c r="AE10" i="10"/>
  <c r="AE23" i="10"/>
  <c r="AE44" i="10"/>
  <c r="AE51" i="10"/>
  <c r="AF51" i="10"/>
  <c r="AE37" i="10"/>
  <c r="AF37" i="10"/>
  <c r="AF100" i="10"/>
  <c r="AE92" i="10"/>
  <c r="AE133" i="10"/>
  <c r="AC196" i="10"/>
  <c r="AE179" i="10"/>
  <c r="AF184" i="10"/>
  <c r="AD205" i="10"/>
  <c r="AA235" i="10"/>
  <c r="AB235" i="10"/>
  <c r="AE229" i="10"/>
  <c r="AE311" i="10"/>
  <c r="AF344" i="10"/>
  <c r="AA350" i="10"/>
  <c r="AF376" i="10"/>
  <c r="AE376" i="10"/>
  <c r="AF355" i="10"/>
  <c r="AA344" i="10"/>
  <c r="AB410" i="10"/>
  <c r="AA52" i="10"/>
  <c r="AE28" i="10"/>
  <c r="AA32" i="10"/>
  <c r="AD35" i="10"/>
  <c r="AF60" i="10"/>
  <c r="AE60" i="10"/>
  <c r="AF149" i="10"/>
  <c r="AE149" i="10"/>
  <c r="AE174" i="10"/>
  <c r="AE156" i="10"/>
  <c r="AE227" i="10"/>
  <c r="AE205" i="10"/>
  <c r="AF205" i="10"/>
  <c r="AA241" i="10"/>
  <c r="AB241" i="10"/>
  <c r="AF207" i="10"/>
  <c r="AF354" i="10"/>
  <c r="AE354" i="10"/>
  <c r="AF406" i="10"/>
  <c r="AF412" i="10"/>
  <c r="AE412" i="10"/>
  <c r="AB390" i="10"/>
  <c r="AD385" i="10"/>
  <c r="AD364" i="10"/>
  <c r="AA143" i="10"/>
  <c r="AB143" i="10"/>
  <c r="AC31" i="10"/>
  <c r="AD31" i="10"/>
  <c r="AA292" i="10"/>
  <c r="AC326" i="10"/>
  <c r="AD326" i="10"/>
  <c r="AD182" i="10"/>
  <c r="AC421" i="10"/>
  <c r="AA322" i="10"/>
  <c r="AD64" i="10"/>
  <c r="AA37" i="10"/>
  <c r="AB61" i="10"/>
  <c r="AA120" i="10"/>
  <c r="AA172" i="10"/>
  <c r="AA351" i="10"/>
  <c r="AC170" i="10"/>
  <c r="AD170" i="10"/>
  <c r="AB21" i="10"/>
  <c r="AA21" i="10"/>
  <c r="AC382" i="10"/>
  <c r="AC333" i="10"/>
  <c r="AC41" i="10"/>
  <c r="AB301" i="10"/>
  <c r="AA198" i="10"/>
  <c r="AB73" i="10"/>
  <c r="AD263" i="10"/>
  <c r="AC263" i="10"/>
  <c r="AA5" i="10"/>
  <c r="AB13" i="10"/>
  <c r="AA41" i="10"/>
  <c r="AA57" i="10"/>
  <c r="AB57" i="10"/>
  <c r="E401" i="10"/>
  <c r="N401" i="10"/>
  <c r="V401" i="10"/>
  <c r="AG401" i="10"/>
  <c r="S401" i="10"/>
  <c r="K401" i="10"/>
  <c r="H401" i="10"/>
  <c r="P401" i="10"/>
  <c r="X401" i="10"/>
  <c r="Y401" i="10"/>
  <c r="Q401" i="10"/>
  <c r="I401" i="10"/>
  <c r="J401" i="10"/>
  <c r="R401" i="10"/>
  <c r="Z401" i="10"/>
  <c r="AD401" i="10" s="1"/>
  <c r="W401" i="10"/>
  <c r="O401" i="10"/>
  <c r="G401" i="10"/>
  <c r="L401" i="10"/>
  <c r="M401" i="10"/>
  <c r="T401" i="10"/>
  <c r="L59" i="10"/>
  <c r="X59" i="10"/>
  <c r="H59" i="10"/>
  <c r="N59" i="10"/>
  <c r="T59" i="10"/>
  <c r="Y59" i="10"/>
  <c r="AA59" i="10" s="1"/>
  <c r="Q59" i="10"/>
  <c r="I59" i="10"/>
  <c r="W59" i="10"/>
  <c r="O59" i="10"/>
  <c r="G59" i="10"/>
  <c r="AG59" i="10"/>
  <c r="K59" i="10"/>
  <c r="E59" i="10"/>
  <c r="Z59" i="10"/>
  <c r="U59" i="10"/>
  <c r="S59" i="10"/>
  <c r="R59" i="10"/>
  <c r="J56" i="10"/>
  <c r="H56" i="10"/>
  <c r="E56" i="10"/>
  <c r="I56" i="10"/>
  <c r="G56" i="10"/>
  <c r="AF3" i="10"/>
  <c r="AE3" i="10"/>
  <c r="E396" i="10"/>
  <c r="AF396" i="10"/>
  <c r="K396" i="10"/>
  <c r="Q396" i="10"/>
  <c r="V396" i="10"/>
  <c r="Z396" i="10"/>
  <c r="AD396" i="10"/>
  <c r="T396" i="10"/>
  <c r="G396" i="10"/>
  <c r="M396" i="10"/>
  <c r="R396" i="10"/>
  <c r="W396" i="10"/>
  <c r="AG396" i="10"/>
  <c r="P396" i="10"/>
  <c r="I396" i="10"/>
  <c r="N396" i="10"/>
  <c r="S396" i="10"/>
  <c r="Y396" i="10"/>
  <c r="O396" i="10"/>
  <c r="H396" i="10"/>
  <c r="U396" i="10"/>
  <c r="J396" i="10"/>
  <c r="X396" i="10"/>
  <c r="H386" i="10"/>
  <c r="G386" i="10"/>
  <c r="E386" i="10"/>
  <c r="I386" i="10"/>
  <c r="J386" i="10"/>
  <c r="AD255" i="10"/>
  <c r="AF176" i="10"/>
  <c r="AD105" i="10"/>
  <c r="AC105" i="10"/>
  <c r="AF139" i="10"/>
  <c r="AE165" i="10"/>
  <c r="AF365" i="10"/>
  <c r="AB338" i="10"/>
  <c r="M59" i="10"/>
  <c r="V190" i="10"/>
  <c r="L190" i="10"/>
  <c r="X190" i="10"/>
  <c r="N190" i="10"/>
  <c r="P190" i="10"/>
  <c r="Y190" i="10"/>
  <c r="AA190" i="10" s="1"/>
  <c r="K190" i="10"/>
  <c r="Q190" i="10"/>
  <c r="I190" i="10"/>
  <c r="M190" i="10"/>
  <c r="Z190" i="10"/>
  <c r="W190" i="10"/>
  <c r="R190" i="10"/>
  <c r="O190" i="10"/>
  <c r="G187" i="10"/>
  <c r="E187" i="10"/>
  <c r="I187" i="10"/>
  <c r="H187" i="10"/>
  <c r="J187" i="10"/>
  <c r="AE88" i="10"/>
  <c r="AF88" i="10"/>
  <c r="T69" i="10"/>
  <c r="H69" i="10"/>
  <c r="L69" i="10"/>
  <c r="Y69" i="10"/>
  <c r="Q69" i="10"/>
  <c r="I69" i="10"/>
  <c r="W69" i="10"/>
  <c r="O69" i="10"/>
  <c r="G69" i="10"/>
  <c r="S69" i="10"/>
  <c r="J69" i="10"/>
  <c r="N69" i="10"/>
  <c r="X69" i="10"/>
  <c r="M69" i="10"/>
  <c r="E69" i="10"/>
  <c r="AF69" i="10"/>
  <c r="P69" i="10"/>
  <c r="AG69" i="10"/>
  <c r="Z69" i="10"/>
  <c r="AD69" i="10" s="1"/>
  <c r="K69" i="10"/>
  <c r="AE110" i="10"/>
  <c r="AB134" i="10"/>
  <c r="AF385" i="10"/>
  <c r="AA364" i="10"/>
  <c r="G259" i="10"/>
  <c r="K259" i="10"/>
  <c r="O259" i="10"/>
  <c r="S259" i="10"/>
  <c r="W259" i="10"/>
  <c r="E259" i="10"/>
  <c r="H259" i="10"/>
  <c r="L259" i="10"/>
  <c r="P259" i="10"/>
  <c r="T259" i="10"/>
  <c r="X259" i="10"/>
  <c r="AG259" i="10"/>
  <c r="I259" i="10"/>
  <c r="Q259" i="10"/>
  <c r="Y259" i="10"/>
  <c r="AB259" i="10" s="1"/>
  <c r="J259" i="10"/>
  <c r="R259" i="10"/>
  <c r="Z259" i="10"/>
  <c r="M259" i="10"/>
  <c r="U259" i="10"/>
  <c r="N259" i="10"/>
  <c r="V259" i="10"/>
  <c r="AE235" i="10"/>
  <c r="AF26" i="10"/>
  <c r="J59" i="10"/>
  <c r="P59" i="10"/>
  <c r="AF128" i="10"/>
  <c r="AE128" i="10"/>
  <c r="AF162" i="10"/>
  <c r="J190" i="10"/>
  <c r="AE198" i="10"/>
  <c r="T190" i="10"/>
  <c r="AA255" i="10"/>
  <c r="AC403" i="10"/>
  <c r="AE373" i="10"/>
  <c r="AB160" i="10"/>
  <c r="U401" i="10"/>
  <c r="AA320" i="10"/>
  <c r="E416" i="10"/>
  <c r="G416" i="10"/>
  <c r="O416" i="10"/>
  <c r="S416" i="10"/>
  <c r="W416" i="10"/>
  <c r="H416" i="10"/>
  <c r="L416" i="10"/>
  <c r="P416" i="10"/>
  <c r="X416" i="10"/>
  <c r="AG416" i="10"/>
  <c r="I416" i="10"/>
  <c r="Q416" i="10"/>
  <c r="U416" i="10"/>
  <c r="Y416" i="10"/>
  <c r="N416" i="10"/>
  <c r="R416" i="10"/>
  <c r="E375" i="10"/>
  <c r="AF375" i="10"/>
  <c r="AG375" i="10"/>
  <c r="U375" i="10"/>
  <c r="M375" i="10"/>
  <c r="V375" i="10"/>
  <c r="H375" i="10"/>
  <c r="X375" i="10"/>
  <c r="S375" i="10"/>
  <c r="K375" i="10"/>
  <c r="L375" i="10"/>
  <c r="I375" i="10"/>
  <c r="N375" i="10"/>
  <c r="W375" i="10"/>
  <c r="P375" i="10"/>
  <c r="O375" i="10"/>
  <c r="AE372" i="10"/>
  <c r="E356" i="10"/>
  <c r="H356" i="10"/>
  <c r="L356" i="10"/>
  <c r="P356" i="10"/>
  <c r="T356" i="10"/>
  <c r="X356" i="10"/>
  <c r="I356" i="10"/>
  <c r="M356" i="10"/>
  <c r="Q356" i="10"/>
  <c r="U356" i="10"/>
  <c r="Y356" i="10"/>
  <c r="AA356" i="10" s="1"/>
  <c r="AG356" i="10"/>
  <c r="G356" i="10"/>
  <c r="O356" i="10"/>
  <c r="W356" i="10"/>
  <c r="J356" i="10"/>
  <c r="R356" i="10"/>
  <c r="K356" i="10"/>
  <c r="S356" i="10"/>
  <c r="Z356" i="10"/>
  <c r="N356" i="10"/>
  <c r="V356" i="10"/>
  <c r="K313" i="10"/>
  <c r="O313" i="10"/>
  <c r="S313" i="10"/>
  <c r="Z313" i="10"/>
  <c r="E313" i="10"/>
  <c r="H313" i="10"/>
  <c r="P313" i="10"/>
  <c r="T313" i="10"/>
  <c r="X313" i="10"/>
  <c r="Q313" i="10"/>
  <c r="Y313" i="10"/>
  <c r="J313" i="10"/>
  <c r="M313" i="10"/>
  <c r="U313" i="10"/>
  <c r="V313" i="10"/>
  <c r="N313" i="10"/>
  <c r="G291" i="10"/>
  <c r="K291" i="10"/>
  <c r="O291" i="10"/>
  <c r="S291" i="10"/>
  <c r="W291" i="10"/>
  <c r="Z291" i="10"/>
  <c r="E291" i="10"/>
  <c r="H291" i="10"/>
  <c r="L291" i="10"/>
  <c r="P291" i="10"/>
  <c r="T291" i="10"/>
  <c r="X291" i="10"/>
  <c r="I291" i="10"/>
  <c r="Q291" i="10"/>
  <c r="Y291" i="10"/>
  <c r="AA291" i="10" s="1"/>
  <c r="J291" i="10"/>
  <c r="R291" i="10"/>
  <c r="M291" i="10"/>
  <c r="U291" i="10"/>
  <c r="V291" i="10"/>
  <c r="AG291" i="10"/>
  <c r="N291" i="10"/>
  <c r="AF245" i="10"/>
  <c r="AE245" i="10"/>
  <c r="AB81" i="10"/>
  <c r="AE89" i="10"/>
  <c r="AF89" i="10"/>
  <c r="AE258" i="10"/>
  <c r="AE264" i="10"/>
  <c r="AF264" i="10"/>
  <c r="AE268" i="10"/>
  <c r="AE272" i="10"/>
  <c r="AF272" i="10"/>
  <c r="AE278" i="10"/>
  <c r="AE284" i="10"/>
  <c r="AF284" i="10"/>
  <c r="I400" i="10"/>
  <c r="V400" i="10"/>
  <c r="W400" i="10"/>
  <c r="G400" i="10"/>
  <c r="AG400" i="10"/>
  <c r="L400" i="10"/>
  <c r="M400" i="10"/>
  <c r="J400" i="10"/>
  <c r="S400" i="10"/>
  <c r="N400" i="10"/>
  <c r="R400" i="10"/>
  <c r="O400" i="10"/>
  <c r="X400" i="10"/>
  <c r="E400" i="10"/>
  <c r="AE400" i="10"/>
  <c r="K400" i="10"/>
  <c r="T400" i="10"/>
  <c r="Y400" i="10"/>
  <c r="AF399" i="10"/>
  <c r="E381" i="10"/>
  <c r="AE381" i="10"/>
  <c r="T381" i="10"/>
  <c r="Q381" i="10"/>
  <c r="I381" i="10"/>
  <c r="Z381" i="10"/>
  <c r="AC381" i="10" s="1"/>
  <c r="V381" i="10"/>
  <c r="H381" i="10"/>
  <c r="X381" i="10"/>
  <c r="W381" i="10"/>
  <c r="O381" i="10"/>
  <c r="G381" i="10"/>
  <c r="L381" i="10"/>
  <c r="AG381" i="10"/>
  <c r="U381" i="10"/>
  <c r="M381" i="10"/>
  <c r="Y381" i="10"/>
  <c r="S381" i="10"/>
  <c r="R381" i="10"/>
  <c r="N381" i="10"/>
  <c r="AC342" i="10"/>
  <c r="AC327" i="10"/>
  <c r="AD327" i="10"/>
  <c r="E242" i="10"/>
  <c r="R242" i="10"/>
  <c r="J242" i="10"/>
  <c r="T242" i="10"/>
  <c r="L242" i="10"/>
  <c r="Q242" i="10"/>
  <c r="I242" i="10"/>
  <c r="P242" i="10"/>
  <c r="N242" i="10"/>
  <c r="W242" i="10"/>
  <c r="O242" i="10"/>
  <c r="G242" i="10"/>
  <c r="V242" i="10"/>
  <c r="Z242" i="10"/>
  <c r="U242" i="10"/>
  <c r="S242" i="10"/>
  <c r="H242" i="10"/>
  <c r="H212" i="10"/>
  <c r="P212" i="10"/>
  <c r="R212" i="10"/>
  <c r="Z212" i="10"/>
  <c r="L212" i="10"/>
  <c r="Y212" i="10"/>
  <c r="Q212" i="10"/>
  <c r="I212" i="10"/>
  <c r="E212" i="10"/>
  <c r="W212" i="10"/>
  <c r="O212" i="10"/>
  <c r="G212" i="10"/>
  <c r="U212" i="10"/>
  <c r="X212" i="10"/>
  <c r="T212" i="10"/>
  <c r="S212" i="10"/>
  <c r="N212" i="10"/>
  <c r="J212" i="10"/>
  <c r="AF119" i="10"/>
  <c r="AE119" i="10"/>
  <c r="AF15" i="10"/>
  <c r="AE202" i="10"/>
  <c r="AC262" i="10"/>
  <c r="AA7" i="10"/>
  <c r="AB168" i="10"/>
  <c r="AA168" i="10"/>
  <c r="G394" i="10"/>
  <c r="K394" i="10"/>
  <c r="O394" i="10"/>
  <c r="S394" i="10"/>
  <c r="W394" i="10"/>
  <c r="Z394" i="10"/>
  <c r="AD394" i="10" s="1"/>
  <c r="E394" i="10"/>
  <c r="H394" i="10"/>
  <c r="L394" i="10"/>
  <c r="P394" i="10"/>
  <c r="T394" i="10"/>
  <c r="X394" i="10"/>
  <c r="I394" i="10"/>
  <c r="M394" i="10"/>
  <c r="Q394" i="10"/>
  <c r="U394" i="10"/>
  <c r="Y394" i="10"/>
  <c r="J394" i="10"/>
  <c r="N394" i="10"/>
  <c r="AG394" i="10"/>
  <c r="H393" i="10"/>
  <c r="N393" i="10"/>
  <c r="Z393" i="10"/>
  <c r="AC393" i="10" s="1"/>
  <c r="U393" i="10"/>
  <c r="M393" i="10"/>
  <c r="X393" i="10"/>
  <c r="E393" i="10"/>
  <c r="AF393" i="10"/>
  <c r="R393" i="10"/>
  <c r="AG393" i="10"/>
  <c r="S393" i="10"/>
  <c r="K393" i="10"/>
  <c r="P393" i="10"/>
  <c r="J393" i="10"/>
  <c r="T393" i="10"/>
  <c r="Y393" i="10"/>
  <c r="AB393" i="10" s="1"/>
  <c r="Q393" i="10"/>
  <c r="I393" i="10"/>
  <c r="V393" i="10"/>
  <c r="W393" i="10"/>
  <c r="O393" i="10"/>
  <c r="AD367" i="10"/>
  <c r="AF367" i="10"/>
  <c r="AE367" i="10"/>
  <c r="AD366" i="10"/>
  <c r="AE360" i="10"/>
  <c r="E288" i="10"/>
  <c r="J288" i="10"/>
  <c r="G288" i="10"/>
  <c r="I288" i="10"/>
  <c r="AA102" i="10"/>
  <c r="AF103" i="10"/>
  <c r="AA3" i="10"/>
  <c r="AB51" i="10"/>
  <c r="I379" i="10"/>
  <c r="G389" i="10"/>
  <c r="AB262" i="10"/>
  <c r="R16" i="5"/>
  <c r="H419" i="10"/>
  <c r="N419" i="10"/>
  <c r="Z419" i="10"/>
  <c r="AG419" i="10"/>
  <c r="U419" i="10"/>
  <c r="M419" i="10"/>
  <c r="X419" i="10"/>
  <c r="E419" i="10"/>
  <c r="R419" i="10"/>
  <c r="Y419" i="10"/>
  <c r="AA419" i="10" s="1"/>
  <c r="S419" i="10"/>
  <c r="K419" i="10"/>
  <c r="P419" i="10"/>
  <c r="J419" i="10"/>
  <c r="T419" i="10"/>
  <c r="Q419" i="10"/>
  <c r="I419" i="10"/>
  <c r="E418" i="10"/>
  <c r="K418" i="10"/>
  <c r="V418" i="10"/>
  <c r="Z418" i="10"/>
  <c r="AC418" i="10" s="1"/>
  <c r="P418" i="10"/>
  <c r="G418" i="10"/>
  <c r="M418" i="10"/>
  <c r="W418" i="10"/>
  <c r="L418" i="10"/>
  <c r="I418" i="10"/>
  <c r="S418" i="10"/>
  <c r="Y418" i="10"/>
  <c r="AA418" i="10"/>
  <c r="G380" i="10"/>
  <c r="K380" i="10"/>
  <c r="O380" i="10"/>
  <c r="S380" i="10"/>
  <c r="W380" i="10"/>
  <c r="Z380" i="10"/>
  <c r="AG380" i="10"/>
  <c r="E380" i="10"/>
  <c r="AF380" i="10"/>
  <c r="H380" i="10"/>
  <c r="L380" i="10"/>
  <c r="P380" i="10"/>
  <c r="T380" i="10"/>
  <c r="X380" i="10"/>
  <c r="I380" i="10"/>
  <c r="M380" i="10"/>
  <c r="Q380" i="10"/>
  <c r="U380" i="10"/>
  <c r="Y380" i="10"/>
  <c r="J368" i="10"/>
  <c r="P368" i="10"/>
  <c r="U368" i="10"/>
  <c r="N368" i="10"/>
  <c r="V368" i="10"/>
  <c r="K368" i="10"/>
  <c r="I368" i="10"/>
  <c r="Q368" i="10"/>
  <c r="AG368" i="10"/>
  <c r="O368" i="10"/>
  <c r="E368" i="10"/>
  <c r="R368" i="10"/>
  <c r="Y368" i="10"/>
  <c r="AA368" i="10" s="1"/>
  <c r="N328" i="10"/>
  <c r="P328" i="10"/>
  <c r="G328" i="10"/>
  <c r="O328" i="10"/>
  <c r="W328" i="10"/>
  <c r="H328" i="10"/>
  <c r="I328" i="10"/>
  <c r="Q328" i="10"/>
  <c r="Y328" i="10"/>
  <c r="AB328" i="10" s="1"/>
  <c r="K328" i="10"/>
  <c r="S328" i="10"/>
  <c r="AF303" i="10"/>
  <c r="J297" i="10"/>
  <c r="O297" i="10"/>
  <c r="Z297" i="10"/>
  <c r="S297" i="10"/>
  <c r="K297" i="10"/>
  <c r="H297" i="10"/>
  <c r="Q297" i="10"/>
  <c r="N297" i="10"/>
  <c r="V297" i="10"/>
  <c r="G285" i="10"/>
  <c r="K285" i="10"/>
  <c r="O285" i="10"/>
  <c r="S285" i="10"/>
  <c r="W285" i="10"/>
  <c r="Z285" i="10"/>
  <c r="AC285" i="10" s="1"/>
  <c r="E285" i="10"/>
  <c r="H285" i="10"/>
  <c r="L285" i="10"/>
  <c r="P285" i="10"/>
  <c r="T285" i="10"/>
  <c r="X285" i="10"/>
  <c r="I285" i="10"/>
  <c r="Q285" i="10"/>
  <c r="Y285" i="10"/>
  <c r="AB285" i="10"/>
  <c r="J285" i="10"/>
  <c r="R285" i="10"/>
  <c r="M285" i="10"/>
  <c r="U285" i="10"/>
  <c r="E216" i="10"/>
  <c r="N216" i="10"/>
  <c r="V216" i="10"/>
  <c r="H216" i="10"/>
  <c r="P216" i="10"/>
  <c r="X216" i="10"/>
  <c r="L216" i="10"/>
  <c r="R216" i="10"/>
  <c r="J216" i="10"/>
  <c r="Y216" i="10"/>
  <c r="S216" i="10"/>
  <c r="K216" i="10"/>
  <c r="T216" i="10"/>
  <c r="Q216" i="10"/>
  <c r="I216" i="10"/>
  <c r="Z216" i="10"/>
  <c r="J176" i="10"/>
  <c r="N176" i="10"/>
  <c r="L176" i="10"/>
  <c r="T176" i="10"/>
  <c r="Z176" i="10"/>
  <c r="AG176" i="10"/>
  <c r="S176" i="10"/>
  <c r="K176" i="10"/>
  <c r="Y176" i="10"/>
  <c r="Q176" i="10"/>
  <c r="I176" i="10"/>
  <c r="H134" i="10"/>
  <c r="X134" i="10"/>
  <c r="L134" i="10"/>
  <c r="Z134" i="10"/>
  <c r="AD134" i="10" s="1"/>
  <c r="J134" i="10"/>
  <c r="P134" i="10"/>
  <c r="R134" i="10"/>
  <c r="U134" i="10"/>
  <c r="M134" i="10"/>
  <c r="AG134" i="10"/>
  <c r="S134" i="10"/>
  <c r="K134" i="10"/>
  <c r="AE85" i="10"/>
  <c r="AF85" i="10"/>
  <c r="AF113" i="10"/>
  <c r="E389" i="10"/>
  <c r="AG389" i="10"/>
  <c r="U389" i="10"/>
  <c r="M389" i="10"/>
  <c r="N389" i="10"/>
  <c r="H389" i="10"/>
  <c r="X389" i="10"/>
  <c r="S389" i="10"/>
  <c r="K389" i="10"/>
  <c r="L389" i="10"/>
  <c r="Q389" i="10"/>
  <c r="I389" i="10"/>
  <c r="N379" i="10"/>
  <c r="Z379" i="10"/>
  <c r="AC379" i="10" s="1"/>
  <c r="W379" i="10"/>
  <c r="G379" i="10"/>
  <c r="X379" i="10"/>
  <c r="E379" i="10"/>
  <c r="AE379" i="10"/>
  <c r="U379" i="10"/>
  <c r="M379" i="10"/>
  <c r="J379" i="10"/>
  <c r="AG379" i="10"/>
  <c r="S379" i="10"/>
  <c r="K379" i="10"/>
  <c r="AC362" i="10"/>
  <c r="AD362" i="10"/>
  <c r="J338" i="10"/>
  <c r="L338" i="10"/>
  <c r="Q338" i="10"/>
  <c r="X338" i="10"/>
  <c r="I338" i="10"/>
  <c r="P338" i="10"/>
  <c r="K338" i="10"/>
  <c r="Z338" i="10"/>
  <c r="V338" i="10"/>
  <c r="E319" i="10"/>
  <c r="L319" i="10"/>
  <c r="P319" i="10"/>
  <c r="T319" i="10"/>
  <c r="I319" i="10"/>
  <c r="M319" i="10"/>
  <c r="Q319" i="10"/>
  <c r="Y319" i="10"/>
  <c r="AB319" i="10" s="1"/>
  <c r="G319" i="10"/>
  <c r="W319" i="10"/>
  <c r="J319" i="10"/>
  <c r="R319" i="10"/>
  <c r="S319" i="10"/>
  <c r="Z319" i="10"/>
  <c r="AD319" i="10" s="1"/>
  <c r="E281" i="10"/>
  <c r="M281" i="10"/>
  <c r="R281" i="10"/>
  <c r="X281" i="10"/>
  <c r="N281" i="10"/>
  <c r="T281" i="10"/>
  <c r="Y281" i="10"/>
  <c r="Q281" i="10"/>
  <c r="S281" i="10"/>
  <c r="J281" i="10"/>
  <c r="L281" i="10"/>
  <c r="V281" i="10"/>
  <c r="G269" i="10"/>
  <c r="H269" i="10"/>
  <c r="I269" i="10"/>
  <c r="J269" i="10"/>
  <c r="E269" i="10"/>
  <c r="AE265" i="10"/>
  <c r="E249" i="10"/>
  <c r="N249" i="10"/>
  <c r="V249" i="10"/>
  <c r="G249" i="10"/>
  <c r="O249" i="10"/>
  <c r="W249" i="10"/>
  <c r="J249" i="10"/>
  <c r="Z249" i="10"/>
  <c r="AD249" i="10" s="1"/>
  <c r="Q249" i="10"/>
  <c r="K249" i="10"/>
  <c r="R249" i="10"/>
  <c r="N244" i="10"/>
  <c r="X244" i="10"/>
  <c r="L244" i="10"/>
  <c r="Y244" i="10"/>
  <c r="AB244" i="10"/>
  <c r="Q244" i="10"/>
  <c r="I244" i="10"/>
  <c r="T244" i="10"/>
  <c r="V244" i="10"/>
  <c r="R244" i="10"/>
  <c r="W244" i="10"/>
  <c r="O244" i="10"/>
  <c r="G244" i="10"/>
  <c r="AD230" i="10"/>
  <c r="AC230" i="10"/>
  <c r="E195" i="10"/>
  <c r="AE195" i="10"/>
  <c r="H195" i="10"/>
  <c r="L195" i="10"/>
  <c r="P195" i="10"/>
  <c r="T195" i="10"/>
  <c r="X195" i="10"/>
  <c r="I195" i="10"/>
  <c r="M195" i="10"/>
  <c r="Q195" i="10"/>
  <c r="U195" i="10"/>
  <c r="Y195" i="10"/>
  <c r="AG195" i="10"/>
  <c r="J195" i="10"/>
  <c r="R195" i="10"/>
  <c r="Z195" i="10"/>
  <c r="AD195" i="10" s="1"/>
  <c r="K195" i="10"/>
  <c r="S195" i="10"/>
  <c r="G195" i="10"/>
  <c r="W195" i="10"/>
  <c r="N195" i="10"/>
  <c r="O195" i="10"/>
  <c r="E164" i="10"/>
  <c r="P164" i="10"/>
  <c r="H164" i="10"/>
  <c r="T164" i="10"/>
  <c r="N164" i="10"/>
  <c r="V164" i="10"/>
  <c r="L164" i="10"/>
  <c r="AG164" i="10"/>
  <c r="S164" i="10"/>
  <c r="K164" i="10"/>
  <c r="X164" i="10"/>
  <c r="Y164" i="10"/>
  <c r="AA164" i="10" s="1"/>
  <c r="Q164" i="10"/>
  <c r="I164" i="10"/>
  <c r="G157" i="10"/>
  <c r="H157" i="10"/>
  <c r="I157" i="10"/>
  <c r="J157" i="10"/>
  <c r="E157" i="10"/>
  <c r="J150" i="10"/>
  <c r="R150" i="10"/>
  <c r="H150" i="10"/>
  <c r="X150" i="10"/>
  <c r="P150" i="10"/>
  <c r="Z150" i="10"/>
  <c r="L150" i="10"/>
  <c r="Q150" i="10"/>
  <c r="I150" i="10"/>
  <c r="W150" i="10"/>
  <c r="O150" i="10"/>
  <c r="G150" i="10"/>
  <c r="N109" i="10"/>
  <c r="Z109" i="10"/>
  <c r="AC109" i="10" s="1"/>
  <c r="J109" i="10"/>
  <c r="R109" i="10"/>
  <c r="V109" i="10"/>
  <c r="G109" i="10"/>
  <c r="O109" i="10"/>
  <c r="W109" i="10"/>
  <c r="I109" i="10"/>
  <c r="Q109" i="10"/>
  <c r="Y109" i="10"/>
  <c r="L361" i="10"/>
  <c r="Z361" i="10"/>
  <c r="AC361" i="10" s="1"/>
  <c r="J361" i="10"/>
  <c r="L355" i="10"/>
  <c r="Z355" i="10"/>
  <c r="AC355" i="10"/>
  <c r="J355" i="10"/>
  <c r="K332" i="10"/>
  <c r="AG332" i="10"/>
  <c r="P332" i="10"/>
  <c r="H331" i="10"/>
  <c r="X331" i="10"/>
  <c r="L331" i="10"/>
  <c r="Z331" i="10"/>
  <c r="AC331" i="10" s="1"/>
  <c r="I330" i="10"/>
  <c r="N330" i="10"/>
  <c r="S330" i="10"/>
  <c r="Y330" i="10"/>
  <c r="AB330" i="10" s="1"/>
  <c r="J330" i="10"/>
  <c r="O330" i="10"/>
  <c r="U330" i="10"/>
  <c r="Z330" i="10"/>
  <c r="AD330" i="10" s="1"/>
  <c r="E329" i="10"/>
  <c r="I329" i="10"/>
  <c r="T329" i="10"/>
  <c r="L329" i="10"/>
  <c r="V329" i="10"/>
  <c r="G317" i="10"/>
  <c r="L317" i="10"/>
  <c r="Q317" i="10"/>
  <c r="V317" i="10"/>
  <c r="E317" i="10"/>
  <c r="H317" i="10"/>
  <c r="M317" i="10"/>
  <c r="R317" i="10"/>
  <c r="X317" i="10"/>
  <c r="J315" i="10"/>
  <c r="O315" i="10"/>
  <c r="Z315" i="10"/>
  <c r="AC315" i="10" s="1"/>
  <c r="G315" i="10"/>
  <c r="S315" i="10"/>
  <c r="J314" i="10"/>
  <c r="R314" i="10"/>
  <c r="Z314" i="10"/>
  <c r="L314" i="10"/>
  <c r="T314" i="10"/>
  <c r="G309" i="10"/>
  <c r="K309" i="10"/>
  <c r="O309" i="10"/>
  <c r="S309" i="10"/>
  <c r="W309" i="10"/>
  <c r="Z309" i="10"/>
  <c r="E309" i="10"/>
  <c r="H309" i="10"/>
  <c r="L309" i="10"/>
  <c r="P309" i="10"/>
  <c r="T309" i="10"/>
  <c r="X309" i="10"/>
  <c r="E307" i="10"/>
  <c r="H307" i="10"/>
  <c r="L307" i="10"/>
  <c r="P307" i="10"/>
  <c r="T307" i="10"/>
  <c r="X307" i="10"/>
  <c r="Z307" i="10"/>
  <c r="I307" i="10"/>
  <c r="M307" i="10"/>
  <c r="Q307" i="10"/>
  <c r="U307" i="10"/>
  <c r="Y307" i="10"/>
  <c r="AG307" i="10"/>
  <c r="N296" i="10"/>
  <c r="X296" i="10"/>
  <c r="H296" i="10"/>
  <c r="J292" i="10"/>
  <c r="R292" i="10"/>
  <c r="Z292" i="10"/>
  <c r="AD292" i="10" s="1"/>
  <c r="L292" i="10"/>
  <c r="T292" i="10"/>
  <c r="E287" i="10"/>
  <c r="AE287" i="10"/>
  <c r="K287" i="10"/>
  <c r="S287" i="10"/>
  <c r="N287" i="10"/>
  <c r="V287" i="10"/>
  <c r="J286" i="10"/>
  <c r="R286" i="10"/>
  <c r="Z286" i="10"/>
  <c r="AD286" i="10" s="1"/>
  <c r="L286" i="10"/>
  <c r="T286" i="10"/>
  <c r="H267" i="10"/>
  <c r="E267" i="10"/>
  <c r="I267" i="10"/>
  <c r="H266" i="10"/>
  <c r="P266" i="10"/>
  <c r="X266" i="10"/>
  <c r="J266" i="10"/>
  <c r="R266" i="10"/>
  <c r="Z266" i="10"/>
  <c r="E261" i="10"/>
  <c r="K261" i="10"/>
  <c r="S261" i="10"/>
  <c r="N261" i="10"/>
  <c r="V261" i="10"/>
  <c r="AG261" i="10"/>
  <c r="T257" i="10"/>
  <c r="H252" i="10"/>
  <c r="P252" i="10"/>
  <c r="X252" i="10"/>
  <c r="J252" i="10"/>
  <c r="R252" i="10"/>
  <c r="Z252" i="10"/>
  <c r="AD252" i="10" s="1"/>
  <c r="K247" i="10"/>
  <c r="P247" i="10"/>
  <c r="U239" i="10"/>
  <c r="W237" i="10"/>
  <c r="O237" i="10"/>
  <c r="L230" i="10"/>
  <c r="P230" i="10"/>
  <c r="I229" i="10"/>
  <c r="N229" i="10"/>
  <c r="S229" i="10"/>
  <c r="Y229" i="10"/>
  <c r="J229" i="10"/>
  <c r="O229" i="10"/>
  <c r="U229" i="10"/>
  <c r="K229" i="10"/>
  <c r="V229" i="10"/>
  <c r="M229" i="10"/>
  <c r="W229" i="10"/>
  <c r="AB223" i="10"/>
  <c r="AA223" i="10"/>
  <c r="H222" i="10"/>
  <c r="J222" i="10"/>
  <c r="L184" i="10"/>
  <c r="P184" i="10"/>
  <c r="AC175" i="10"/>
  <c r="AD175" i="10"/>
  <c r="P139" i="10"/>
  <c r="AG139" i="10"/>
  <c r="V139" i="10"/>
  <c r="Z139" i="10"/>
  <c r="AD139" i="10"/>
  <c r="N136" i="10"/>
  <c r="X136" i="10"/>
  <c r="J91" i="10"/>
  <c r="P91" i="10"/>
  <c r="H91" i="10"/>
  <c r="V91" i="10"/>
  <c r="L91" i="10"/>
  <c r="X91" i="10"/>
  <c r="T91" i="10"/>
  <c r="R86" i="10"/>
  <c r="J86" i="10"/>
  <c r="N86" i="10"/>
  <c r="J70" i="10"/>
  <c r="R70" i="10"/>
  <c r="E70" i="10"/>
  <c r="L70" i="10"/>
  <c r="V70" i="10"/>
  <c r="I70" i="10"/>
  <c r="T70" i="10"/>
  <c r="H70" i="10"/>
  <c r="X70" i="10"/>
  <c r="P70" i="10"/>
  <c r="AG70" i="10"/>
  <c r="H61" i="10"/>
  <c r="R61" i="10"/>
  <c r="P61" i="10"/>
  <c r="L61" i="10"/>
  <c r="T61" i="10"/>
  <c r="X61" i="10"/>
  <c r="Z61" i="10"/>
  <c r="AD61" i="10" s="1"/>
  <c r="AF58" i="10"/>
  <c r="AE58" i="10"/>
  <c r="M395" i="10"/>
  <c r="U395" i="10"/>
  <c r="I399" i="10"/>
  <c r="Q399" i="10"/>
  <c r="K403" i="10"/>
  <c r="S403" i="10"/>
  <c r="AG403" i="10"/>
  <c r="I415" i="10"/>
  <c r="Q415" i="10"/>
  <c r="Y415" i="10"/>
  <c r="T415" i="10"/>
  <c r="AG410" i="10"/>
  <c r="R410" i="10"/>
  <c r="J410" i="10"/>
  <c r="AG404" i="10"/>
  <c r="Y404" i="10"/>
  <c r="AB404" i="10" s="1"/>
  <c r="U404" i="10"/>
  <c r="Q404" i="10"/>
  <c r="M404" i="10"/>
  <c r="I404" i="10"/>
  <c r="T403" i="10"/>
  <c r="Y402" i="10"/>
  <c r="AA402" i="10" s="1"/>
  <c r="S402" i="10"/>
  <c r="N402" i="10"/>
  <c r="I402" i="10"/>
  <c r="T399" i="10"/>
  <c r="J399" i="10"/>
  <c r="L395" i="10"/>
  <c r="T385" i="10"/>
  <c r="J385" i="10"/>
  <c r="Y372" i="10"/>
  <c r="AB372" i="10" s="1"/>
  <c r="S372" i="10"/>
  <c r="N372" i="10"/>
  <c r="I372" i="10"/>
  <c r="J371" i="10"/>
  <c r="W370" i="10"/>
  <c r="Q370" i="10"/>
  <c r="J370" i="10"/>
  <c r="G362" i="10"/>
  <c r="K362" i="10"/>
  <c r="O362" i="10"/>
  <c r="S362" i="10"/>
  <c r="W362" i="10"/>
  <c r="E362" i="10"/>
  <c r="H362" i="10"/>
  <c r="L362" i="10"/>
  <c r="P362" i="10"/>
  <c r="T362" i="10"/>
  <c r="X362" i="10"/>
  <c r="J345" i="10"/>
  <c r="T345" i="10"/>
  <c r="L345" i="10"/>
  <c r="X345" i="10"/>
  <c r="E342" i="10"/>
  <c r="AF342" i="10"/>
  <c r="H342" i="10"/>
  <c r="L342" i="10"/>
  <c r="P342" i="10"/>
  <c r="T342" i="10"/>
  <c r="X342" i="10"/>
  <c r="I342" i="10"/>
  <c r="M342" i="10"/>
  <c r="Q342" i="10"/>
  <c r="U342" i="10"/>
  <c r="Y342" i="10"/>
  <c r="AA342" i="10" s="1"/>
  <c r="AA336" i="10"/>
  <c r="Z332" i="10"/>
  <c r="AC332" i="10" s="1"/>
  <c r="R331" i="10"/>
  <c r="W330" i="10"/>
  <c r="M330" i="10"/>
  <c r="Q329" i="10"/>
  <c r="G323" i="10"/>
  <c r="L323" i="10"/>
  <c r="R323" i="10"/>
  <c r="W323" i="10"/>
  <c r="AG323" i="10"/>
  <c r="E323" i="10"/>
  <c r="H323" i="10"/>
  <c r="N323" i="10"/>
  <c r="S323" i="10"/>
  <c r="X323" i="10"/>
  <c r="AF321" i="10"/>
  <c r="AE321" i="10"/>
  <c r="Y317" i="10"/>
  <c r="AA317" i="10" s="1"/>
  <c r="N317" i="10"/>
  <c r="V315" i="10"/>
  <c r="P314" i="10"/>
  <c r="U309" i="10"/>
  <c r="M309" i="10"/>
  <c r="S307" i="10"/>
  <c r="K307" i="10"/>
  <c r="J302" i="10"/>
  <c r="N302" i="10"/>
  <c r="E295" i="10"/>
  <c r="AE295" i="10"/>
  <c r="K295" i="10"/>
  <c r="S295" i="10"/>
  <c r="AG295" i="10"/>
  <c r="N295" i="10"/>
  <c r="V295" i="10"/>
  <c r="P292" i="10"/>
  <c r="E289" i="10"/>
  <c r="G289" i="10"/>
  <c r="L289" i="10"/>
  <c r="Q289" i="10"/>
  <c r="V289" i="10"/>
  <c r="AG289" i="10"/>
  <c r="H289" i="10"/>
  <c r="M289" i="10"/>
  <c r="R289" i="10"/>
  <c r="X289" i="10"/>
  <c r="O287" i="10"/>
  <c r="P286" i="10"/>
  <c r="G279" i="10"/>
  <c r="V279" i="10"/>
  <c r="J279" i="10"/>
  <c r="J268" i="10"/>
  <c r="H268" i="10"/>
  <c r="E257" i="10"/>
  <c r="AE257" i="10"/>
  <c r="G257" i="10"/>
  <c r="L257" i="10"/>
  <c r="Q257" i="10"/>
  <c r="V257" i="10"/>
  <c r="AG257" i="10"/>
  <c r="H257" i="10"/>
  <c r="M257" i="10"/>
  <c r="R257" i="10"/>
  <c r="X257" i="10"/>
  <c r="H239" i="10"/>
  <c r="M239" i="10"/>
  <c r="R239" i="10"/>
  <c r="X239" i="10"/>
  <c r="E239" i="10"/>
  <c r="AF239" i="10"/>
  <c r="I239" i="10"/>
  <c r="N239" i="10"/>
  <c r="T239" i="10"/>
  <c r="Y239" i="10"/>
  <c r="E237" i="10"/>
  <c r="H237" i="10"/>
  <c r="L237" i="10"/>
  <c r="P237" i="10"/>
  <c r="T237" i="10"/>
  <c r="X237" i="10"/>
  <c r="I237" i="10"/>
  <c r="M237" i="10"/>
  <c r="Q237" i="10"/>
  <c r="U237" i="10"/>
  <c r="Y237" i="10"/>
  <c r="H217" i="10"/>
  <c r="E217" i="10"/>
  <c r="I217" i="10"/>
  <c r="J217" i="10"/>
  <c r="H214" i="10"/>
  <c r="V214" i="10"/>
  <c r="L214" i="10"/>
  <c r="X214" i="10"/>
  <c r="N214" i="10"/>
  <c r="T214" i="10"/>
  <c r="E192" i="10"/>
  <c r="N192" i="10"/>
  <c r="V192" i="10"/>
  <c r="H192" i="10"/>
  <c r="P192" i="10"/>
  <c r="X192" i="10"/>
  <c r="J192" i="10"/>
  <c r="Z192" i="10"/>
  <c r="AC192" i="10" s="1"/>
  <c r="L192" i="10"/>
  <c r="E168" i="10"/>
  <c r="N168" i="10"/>
  <c r="P168" i="10"/>
  <c r="T168" i="10"/>
  <c r="H152" i="10"/>
  <c r="E152" i="10"/>
  <c r="G135" i="10"/>
  <c r="K135" i="10"/>
  <c r="O135" i="10"/>
  <c r="S135" i="10"/>
  <c r="W135" i="10"/>
  <c r="Z135" i="10"/>
  <c r="AG135" i="10"/>
  <c r="E135" i="10"/>
  <c r="H135" i="10"/>
  <c r="L135" i="10"/>
  <c r="P135" i="10"/>
  <c r="T135" i="10"/>
  <c r="X135" i="10"/>
  <c r="I135" i="10"/>
  <c r="Q135" i="10"/>
  <c r="Y135" i="10"/>
  <c r="AB135" i="10" s="1"/>
  <c r="J135" i="10"/>
  <c r="R135" i="10"/>
  <c r="H117" i="10"/>
  <c r="T117" i="10"/>
  <c r="L117" i="10"/>
  <c r="X117" i="10"/>
  <c r="E117" i="10"/>
  <c r="N117" i="10"/>
  <c r="AG117" i="10"/>
  <c r="P117" i="10"/>
  <c r="V117" i="10"/>
  <c r="E96" i="10"/>
  <c r="AF96" i="10"/>
  <c r="J96" i="10"/>
  <c r="O96" i="10"/>
  <c r="U96" i="10"/>
  <c r="G96" i="10"/>
  <c r="N96" i="10"/>
  <c r="V96" i="10"/>
  <c r="I96" i="10"/>
  <c r="Q96" i="10"/>
  <c r="W96" i="10"/>
  <c r="S96" i="10"/>
  <c r="K96" i="10"/>
  <c r="Y96" i="10"/>
  <c r="AB96" i="10" s="1"/>
  <c r="J95" i="10"/>
  <c r="Z95" i="10"/>
  <c r="L95" i="10"/>
  <c r="N95" i="10"/>
  <c r="V95" i="10"/>
  <c r="L79" i="10"/>
  <c r="V79" i="10"/>
  <c r="J79" i="10"/>
  <c r="N79" i="10"/>
  <c r="R79" i="10"/>
  <c r="Z79" i="10"/>
  <c r="AC79" i="10"/>
  <c r="G72" i="10"/>
  <c r="K72" i="10"/>
  <c r="O72" i="10"/>
  <c r="S72" i="10"/>
  <c r="W72" i="10"/>
  <c r="Z72" i="10"/>
  <c r="AC72" i="10"/>
  <c r="AG72" i="10"/>
  <c r="E72" i="10"/>
  <c r="I72" i="10"/>
  <c r="N72" i="10"/>
  <c r="T72" i="10"/>
  <c r="Y72" i="10"/>
  <c r="AA72" i="10" s="1"/>
  <c r="J72" i="10"/>
  <c r="P72" i="10"/>
  <c r="U72" i="10"/>
  <c r="H72" i="10"/>
  <c r="R72" i="10"/>
  <c r="L72" i="10"/>
  <c r="V72" i="10"/>
  <c r="K361" i="10"/>
  <c r="S361" i="10"/>
  <c r="Y361" i="10"/>
  <c r="AB361" i="10" s="1"/>
  <c r="G371" i="10"/>
  <c r="I385" i="10"/>
  <c r="Q385" i="10"/>
  <c r="Y385" i="10"/>
  <c r="G395" i="10"/>
  <c r="O395" i="10"/>
  <c r="W395" i="10"/>
  <c r="K399" i="10"/>
  <c r="S399" i="10"/>
  <c r="Y399" i="10"/>
  <c r="M403" i="10"/>
  <c r="U403" i="10"/>
  <c r="I413" i="10"/>
  <c r="Q413" i="10"/>
  <c r="Y413" i="10"/>
  <c r="AA413" i="10"/>
  <c r="K415" i="10"/>
  <c r="S415" i="10"/>
  <c r="AG415" i="10"/>
  <c r="Z413" i="10"/>
  <c r="R413" i="10"/>
  <c r="X410" i="10"/>
  <c r="P410" i="10"/>
  <c r="H410" i="10"/>
  <c r="Y408" i="10"/>
  <c r="AB408" i="10" s="1"/>
  <c r="S408" i="10"/>
  <c r="N408" i="10"/>
  <c r="X404" i="10"/>
  <c r="T404" i="10"/>
  <c r="P404" i="10"/>
  <c r="L404" i="10"/>
  <c r="H404" i="10"/>
  <c r="W402" i="10"/>
  <c r="R402" i="10"/>
  <c r="M402" i="10"/>
  <c r="R399" i="10"/>
  <c r="X395" i="10"/>
  <c r="AG392" i="10"/>
  <c r="R392" i="10"/>
  <c r="R385" i="10"/>
  <c r="AG378" i="10"/>
  <c r="R378" i="10"/>
  <c r="W372" i="10"/>
  <c r="R372" i="10"/>
  <c r="M372" i="10"/>
  <c r="V370" i="10"/>
  <c r="O370" i="10"/>
  <c r="K366" i="10"/>
  <c r="P366" i="10"/>
  <c r="AG366" i="10"/>
  <c r="N363" i="10"/>
  <c r="X363" i="10"/>
  <c r="U362" i="10"/>
  <c r="M362" i="10"/>
  <c r="T361" i="10"/>
  <c r="T355" i="10"/>
  <c r="K354" i="10"/>
  <c r="Q354" i="10"/>
  <c r="E350" i="10"/>
  <c r="AF350" i="10"/>
  <c r="G350" i="10"/>
  <c r="O350" i="10"/>
  <c r="V350" i="10"/>
  <c r="J350" i="10"/>
  <c r="P350" i="10"/>
  <c r="W350" i="10"/>
  <c r="AG350" i="10"/>
  <c r="R345" i="10"/>
  <c r="S342" i="10"/>
  <c r="K342" i="10"/>
  <c r="E340" i="10"/>
  <c r="AF340" i="10"/>
  <c r="H340" i="10"/>
  <c r="N340" i="10"/>
  <c r="S340" i="10"/>
  <c r="X340" i="10"/>
  <c r="J340" i="10"/>
  <c r="O340" i="10"/>
  <c r="T340" i="10"/>
  <c r="Z340" i="10"/>
  <c r="AD340" i="10" s="1"/>
  <c r="AG340" i="10"/>
  <c r="H339" i="10"/>
  <c r="P339" i="10"/>
  <c r="X339" i="10"/>
  <c r="J339" i="10"/>
  <c r="R339" i="10"/>
  <c r="Z339" i="10"/>
  <c r="AC339" i="10"/>
  <c r="L335" i="10"/>
  <c r="P335" i="10"/>
  <c r="J333" i="10"/>
  <c r="R333" i="10"/>
  <c r="E333" i="10"/>
  <c r="AE333" i="10"/>
  <c r="V333" i="10"/>
  <c r="V332" i="10"/>
  <c r="P331" i="10"/>
  <c r="V330" i="10"/>
  <c r="K330" i="10"/>
  <c r="N329" i="10"/>
  <c r="G325" i="10"/>
  <c r="H325" i="10"/>
  <c r="J324" i="10"/>
  <c r="R324" i="10"/>
  <c r="H324" i="10"/>
  <c r="X324" i="10"/>
  <c r="Z323" i="10"/>
  <c r="AC323" i="10" s="1"/>
  <c r="O323" i="10"/>
  <c r="U317" i="10"/>
  <c r="J317" i="10"/>
  <c r="N315" i="10"/>
  <c r="N314" i="10"/>
  <c r="H312" i="10"/>
  <c r="Z312" i="10"/>
  <c r="AC312" i="10" s="1"/>
  <c r="J312" i="10"/>
  <c r="R309" i="10"/>
  <c r="J309" i="10"/>
  <c r="R307" i="10"/>
  <c r="J307" i="10"/>
  <c r="J306" i="10"/>
  <c r="Z306" i="10"/>
  <c r="N306" i="10"/>
  <c r="E305" i="10"/>
  <c r="AE305" i="10"/>
  <c r="H305" i="10"/>
  <c r="M305" i="10"/>
  <c r="R305" i="10"/>
  <c r="X305" i="10"/>
  <c r="I305" i="10"/>
  <c r="N305" i="10"/>
  <c r="T305" i="10"/>
  <c r="Y305" i="10"/>
  <c r="Z302" i="10"/>
  <c r="AC302" i="10" s="1"/>
  <c r="V296" i="10"/>
  <c r="O295" i="10"/>
  <c r="N292" i="10"/>
  <c r="H290" i="10"/>
  <c r="V290" i="10"/>
  <c r="J290" i="10"/>
  <c r="Z290" i="10"/>
  <c r="Y289" i="10"/>
  <c r="AB289" i="10"/>
  <c r="N289" i="10"/>
  <c r="Z287" i="10"/>
  <c r="J287" i="10"/>
  <c r="N286" i="10"/>
  <c r="H284" i="10"/>
  <c r="Z284" i="10"/>
  <c r="J284" i="10"/>
  <c r="J267" i="10"/>
  <c r="N266" i="10"/>
  <c r="Z261" i="10"/>
  <c r="J261" i="10"/>
  <c r="H258" i="10"/>
  <c r="V258" i="10"/>
  <c r="J258" i="10"/>
  <c r="Z258" i="10"/>
  <c r="AD258" i="10" s="1"/>
  <c r="Y257" i="10"/>
  <c r="AB257" i="10" s="1"/>
  <c r="N257" i="10"/>
  <c r="L252" i="10"/>
  <c r="L250" i="10"/>
  <c r="T250" i="10"/>
  <c r="U247" i="10"/>
  <c r="H246" i="10"/>
  <c r="P246" i="10"/>
  <c r="H240" i="10"/>
  <c r="P240" i="10"/>
  <c r="X240" i="10"/>
  <c r="J240" i="10"/>
  <c r="R240" i="10"/>
  <c r="Z240" i="10"/>
  <c r="AD240" i="10" s="1"/>
  <c r="P239" i="10"/>
  <c r="Z237" i="10"/>
  <c r="AD237" i="10" s="1"/>
  <c r="S237" i="10"/>
  <c r="K237" i="10"/>
  <c r="Q229" i="10"/>
  <c r="M205" i="10"/>
  <c r="N205" i="10"/>
  <c r="H201" i="10"/>
  <c r="L201" i="10"/>
  <c r="P201" i="10"/>
  <c r="T201" i="10"/>
  <c r="X201" i="10"/>
  <c r="E201" i="10"/>
  <c r="AF201" i="10"/>
  <c r="I201" i="10"/>
  <c r="M201" i="10"/>
  <c r="Q201" i="10"/>
  <c r="U201" i="10"/>
  <c r="Y201" i="10"/>
  <c r="AB201" i="10" s="1"/>
  <c r="AG201" i="10"/>
  <c r="J201" i="10"/>
  <c r="R201" i="10"/>
  <c r="K201" i="10"/>
  <c r="S201" i="10"/>
  <c r="Z201" i="10"/>
  <c r="H188" i="10"/>
  <c r="R188" i="10"/>
  <c r="J188" i="10"/>
  <c r="T188" i="10"/>
  <c r="P188" i="10"/>
  <c r="X188" i="10"/>
  <c r="G173" i="10"/>
  <c r="K173" i="10"/>
  <c r="O173" i="10"/>
  <c r="S173" i="10"/>
  <c r="W173" i="10"/>
  <c r="Z173" i="10"/>
  <c r="AD173" i="10" s="1"/>
  <c r="E173" i="10"/>
  <c r="H173" i="10"/>
  <c r="L173" i="10"/>
  <c r="P173" i="10"/>
  <c r="T173" i="10"/>
  <c r="X173" i="10"/>
  <c r="J173" i="10"/>
  <c r="R173" i="10"/>
  <c r="M173" i="10"/>
  <c r="U173" i="10"/>
  <c r="AG173" i="10"/>
  <c r="G149" i="10"/>
  <c r="M149" i="10"/>
  <c r="R149" i="10"/>
  <c r="W149" i="10"/>
  <c r="I149" i="10"/>
  <c r="N149" i="10"/>
  <c r="S149" i="10"/>
  <c r="Y149" i="10"/>
  <c r="J149" i="10"/>
  <c r="U149" i="10"/>
  <c r="K149" i="10"/>
  <c r="V149" i="10"/>
  <c r="L146" i="10"/>
  <c r="Z146" i="10"/>
  <c r="J146" i="10"/>
  <c r="T146" i="10"/>
  <c r="U135" i="10"/>
  <c r="H131" i="10"/>
  <c r="P131" i="10"/>
  <c r="V131" i="10"/>
  <c r="J131" i="10"/>
  <c r="Q131" i="10"/>
  <c r="X131" i="10"/>
  <c r="E131" i="10"/>
  <c r="AF131" i="10"/>
  <c r="U131" i="10"/>
  <c r="L131" i="10"/>
  <c r="AG131" i="10"/>
  <c r="G125" i="10"/>
  <c r="H125" i="10"/>
  <c r="J125" i="10"/>
  <c r="E125" i="10"/>
  <c r="E121" i="10"/>
  <c r="H121" i="10"/>
  <c r="L121" i="10"/>
  <c r="P121" i="10"/>
  <c r="T121" i="10"/>
  <c r="X121" i="10"/>
  <c r="I121" i="10"/>
  <c r="M121" i="10"/>
  <c r="Q121" i="10"/>
  <c r="U121" i="10"/>
  <c r="Y121" i="10"/>
  <c r="AG121" i="10"/>
  <c r="G121" i="10"/>
  <c r="O121" i="10"/>
  <c r="W121" i="10"/>
  <c r="J121" i="10"/>
  <c r="R121" i="10"/>
  <c r="Z121" i="10"/>
  <c r="AD121" i="10" s="1"/>
  <c r="R100" i="10"/>
  <c r="N100" i="10"/>
  <c r="V100" i="10"/>
  <c r="Z96" i="10"/>
  <c r="N73" i="10"/>
  <c r="J73" i="10"/>
  <c r="R73" i="10"/>
  <c r="Z73" i="10"/>
  <c r="AD73" i="10" s="1"/>
  <c r="X72" i="10"/>
  <c r="R367" i="10"/>
  <c r="R365" i="10"/>
  <c r="R364" i="10"/>
  <c r="M364" i="10"/>
  <c r="V359" i="10"/>
  <c r="N359" i="10"/>
  <c r="Q358" i="10"/>
  <c r="P357" i="10"/>
  <c r="P337" i="10"/>
  <c r="S336" i="10"/>
  <c r="O336" i="10"/>
  <c r="K336" i="10"/>
  <c r="AG277" i="10"/>
  <c r="Z277" i="10"/>
  <c r="AC277" i="10" s="1"/>
  <c r="W277" i="10"/>
  <c r="S277" i="10"/>
  <c r="O277" i="10"/>
  <c r="K277" i="10"/>
  <c r="V270" i="10"/>
  <c r="V262" i="10"/>
  <c r="V255" i="10"/>
  <c r="N255" i="10"/>
  <c r="V253" i="10"/>
  <c r="V248" i="10"/>
  <c r="N248" i="10"/>
  <c r="Z245" i="10"/>
  <c r="AD245" i="10" s="1"/>
  <c r="U245" i="10"/>
  <c r="N245" i="10"/>
  <c r="Z243" i="10"/>
  <c r="AD243" i="10" s="1"/>
  <c r="W243" i="10"/>
  <c r="S243" i="10"/>
  <c r="O243" i="10"/>
  <c r="K243" i="10"/>
  <c r="R236" i="10"/>
  <c r="Y233" i="10"/>
  <c r="J227" i="10"/>
  <c r="Q227" i="10"/>
  <c r="H227" i="10"/>
  <c r="R227" i="10"/>
  <c r="Z219" i="10"/>
  <c r="E218" i="10"/>
  <c r="AF218" i="10"/>
  <c r="P218" i="10"/>
  <c r="H218" i="10"/>
  <c r="T218" i="10"/>
  <c r="G211" i="10"/>
  <c r="N211" i="10"/>
  <c r="U211" i="10"/>
  <c r="I211" i="10"/>
  <c r="O211" i="10"/>
  <c r="V211" i="10"/>
  <c r="G209" i="10"/>
  <c r="K209" i="10"/>
  <c r="O209" i="10"/>
  <c r="S209" i="10"/>
  <c r="W209" i="10"/>
  <c r="Z209" i="10"/>
  <c r="AC209" i="10" s="1"/>
  <c r="E209" i="10"/>
  <c r="H209" i="10"/>
  <c r="L209" i="10"/>
  <c r="P209" i="10"/>
  <c r="T209" i="10"/>
  <c r="X209" i="10"/>
  <c r="R197" i="10"/>
  <c r="AG193" i="10"/>
  <c r="H186" i="10"/>
  <c r="P186" i="10"/>
  <c r="E186" i="10"/>
  <c r="V186" i="10"/>
  <c r="J182" i="10"/>
  <c r="T182" i="10"/>
  <c r="L182" i="10"/>
  <c r="V182" i="10"/>
  <c r="N178" i="10"/>
  <c r="X178" i="10"/>
  <c r="E177" i="10"/>
  <c r="H177" i="10"/>
  <c r="L177" i="10"/>
  <c r="P177" i="10"/>
  <c r="T177" i="10"/>
  <c r="X177" i="10"/>
  <c r="I177" i="10"/>
  <c r="M177" i="10"/>
  <c r="Q177" i="10"/>
  <c r="U177" i="10"/>
  <c r="Y177" i="10"/>
  <c r="AB177" i="10" s="1"/>
  <c r="E170" i="10"/>
  <c r="N170" i="10"/>
  <c r="V170" i="10"/>
  <c r="H170" i="10"/>
  <c r="P170" i="10"/>
  <c r="X170" i="10"/>
  <c r="P166" i="10"/>
  <c r="T166" i="10"/>
  <c r="G165" i="10"/>
  <c r="R165" i="10"/>
  <c r="Z165" i="10"/>
  <c r="AD165" i="10" s="1"/>
  <c r="K165" i="10"/>
  <c r="S165" i="10"/>
  <c r="K151" i="10"/>
  <c r="AG151" i="10"/>
  <c r="P151" i="10"/>
  <c r="G147" i="10"/>
  <c r="K147" i="10"/>
  <c r="O147" i="10"/>
  <c r="S147" i="10"/>
  <c r="W147" i="10"/>
  <c r="Z147" i="10"/>
  <c r="AC147" i="10" s="1"/>
  <c r="AG147" i="10"/>
  <c r="E147" i="10"/>
  <c r="H147" i="10"/>
  <c r="L147" i="10"/>
  <c r="P147" i="10"/>
  <c r="T147" i="10"/>
  <c r="X147" i="10"/>
  <c r="E138" i="10"/>
  <c r="AF138" i="10"/>
  <c r="N138" i="10"/>
  <c r="V138" i="10"/>
  <c r="H138" i="10"/>
  <c r="P138" i="10"/>
  <c r="X138" i="10"/>
  <c r="H129" i="10"/>
  <c r="S129" i="10"/>
  <c r="K129" i="10"/>
  <c r="V129" i="10"/>
  <c r="W115" i="10"/>
  <c r="J115" i="10"/>
  <c r="AG115" i="10"/>
  <c r="AE106" i="10"/>
  <c r="AF106" i="10"/>
  <c r="J103" i="10"/>
  <c r="V103" i="10"/>
  <c r="H103" i="10"/>
  <c r="N103" i="10"/>
  <c r="J83" i="10"/>
  <c r="R83" i="10"/>
  <c r="Z83" i="10"/>
  <c r="H83" i="10"/>
  <c r="T83" i="10"/>
  <c r="L83" i="10"/>
  <c r="V83" i="10"/>
  <c r="W80" i="10"/>
  <c r="H75" i="10"/>
  <c r="T75" i="10"/>
  <c r="J75" i="10"/>
  <c r="V75" i="10"/>
  <c r="L75" i="10"/>
  <c r="X75" i="10"/>
  <c r="M54" i="10"/>
  <c r="X54" i="10"/>
  <c r="L54" i="10"/>
  <c r="Q54" i="10"/>
  <c r="R54" i="10"/>
  <c r="L51" i="10"/>
  <c r="X51" i="10"/>
  <c r="J51" i="10"/>
  <c r="Z51" i="10"/>
  <c r="H51" i="10"/>
  <c r="P51" i="10"/>
  <c r="H32" i="10"/>
  <c r="T32" i="10"/>
  <c r="E32" i="10"/>
  <c r="N32" i="10"/>
  <c r="X32" i="10"/>
  <c r="P32" i="10"/>
  <c r="V32" i="10"/>
  <c r="L32" i="10"/>
  <c r="AG32" i="10"/>
  <c r="Z349" i="10"/>
  <c r="R349" i="10"/>
  <c r="V348" i="10"/>
  <c r="X347" i="10"/>
  <c r="V327" i="10"/>
  <c r="Y321" i="10"/>
  <c r="AA321" i="10" s="1"/>
  <c r="U321" i="10"/>
  <c r="Q321" i="10"/>
  <c r="M321" i="10"/>
  <c r="T320" i="10"/>
  <c r="T303" i="10"/>
  <c r="N303" i="10"/>
  <c r="Y293" i="10"/>
  <c r="AB293" i="10" s="1"/>
  <c r="U293" i="10"/>
  <c r="Q293" i="10"/>
  <c r="M293" i="10"/>
  <c r="I293" i="10"/>
  <c r="E233" i="10"/>
  <c r="AE233" i="10"/>
  <c r="H233" i="10"/>
  <c r="N233" i="10"/>
  <c r="U233" i="10"/>
  <c r="I233" i="10"/>
  <c r="P233" i="10"/>
  <c r="V233" i="10"/>
  <c r="AG233" i="10"/>
  <c r="H228" i="10"/>
  <c r="J228" i="10"/>
  <c r="H224" i="10"/>
  <c r="V224" i="10"/>
  <c r="L224" i="10"/>
  <c r="X224" i="10"/>
  <c r="G219" i="10"/>
  <c r="R219" i="10"/>
  <c r="K219" i="10"/>
  <c r="V219" i="10"/>
  <c r="E204" i="10"/>
  <c r="H204" i="10"/>
  <c r="I197" i="10"/>
  <c r="N197" i="10"/>
  <c r="S197" i="10"/>
  <c r="Y197" i="10"/>
  <c r="AB197" i="10" s="1"/>
  <c r="J197" i="10"/>
  <c r="O197" i="10"/>
  <c r="U197" i="10"/>
  <c r="H193" i="10"/>
  <c r="P193" i="10"/>
  <c r="E193" i="10"/>
  <c r="AE193" i="10"/>
  <c r="J193" i="10"/>
  <c r="T193" i="10"/>
  <c r="AC177" i="10"/>
  <c r="AD177" i="10"/>
  <c r="N161" i="10"/>
  <c r="Z161" i="10"/>
  <c r="P161" i="10"/>
  <c r="E154" i="10"/>
  <c r="V154" i="10"/>
  <c r="L154" i="10"/>
  <c r="X154" i="10"/>
  <c r="H140" i="10"/>
  <c r="E140" i="10"/>
  <c r="J111" i="10"/>
  <c r="Z111" i="10"/>
  <c r="H111" i="10"/>
  <c r="N111" i="10"/>
  <c r="R107" i="10"/>
  <c r="J107" i="10"/>
  <c r="Z107" i="10"/>
  <c r="I80" i="10"/>
  <c r="N80" i="10"/>
  <c r="S80" i="10"/>
  <c r="Y80" i="10"/>
  <c r="AB80" i="10" s="1"/>
  <c r="E80" i="10"/>
  <c r="AF80" i="10"/>
  <c r="M80" i="10"/>
  <c r="U80" i="10"/>
  <c r="Z80" i="10"/>
  <c r="AD80" i="10" s="1"/>
  <c r="G80" i="10"/>
  <c r="O80" i="10"/>
  <c r="V80" i="10"/>
  <c r="N77" i="10"/>
  <c r="H77" i="10"/>
  <c r="Z77" i="10"/>
  <c r="AC77" i="10" s="1"/>
  <c r="J77" i="10"/>
  <c r="I68" i="10"/>
  <c r="N68" i="10"/>
  <c r="S68" i="10"/>
  <c r="Y68" i="10"/>
  <c r="AA68" i="10" s="1"/>
  <c r="E68" i="10"/>
  <c r="AF68" i="10"/>
  <c r="M68" i="10"/>
  <c r="U68" i="10"/>
  <c r="G68" i="10"/>
  <c r="Q68" i="10"/>
  <c r="Z68" i="10"/>
  <c r="AD68" i="10" s="1"/>
  <c r="J68" i="10"/>
  <c r="R68" i="10"/>
  <c r="E64" i="10"/>
  <c r="H64" i="10"/>
  <c r="P64" i="10"/>
  <c r="X64" i="10"/>
  <c r="L64" i="10"/>
  <c r="V64" i="10"/>
  <c r="I64" i="10"/>
  <c r="T64" i="10"/>
  <c r="J64" i="10"/>
  <c r="AG64" i="10"/>
  <c r="Z17" i="10"/>
  <c r="L17" i="10"/>
  <c r="N17" i="10"/>
  <c r="T226" i="10"/>
  <c r="Z223" i="10"/>
  <c r="W223" i="10"/>
  <c r="S223" i="10"/>
  <c r="O223" i="10"/>
  <c r="K223" i="10"/>
  <c r="T220" i="10"/>
  <c r="X202" i="10"/>
  <c r="T199" i="10"/>
  <c r="N199" i="10"/>
  <c r="T196" i="10"/>
  <c r="Z185" i="10"/>
  <c r="AD185" i="10" s="1"/>
  <c r="W185" i="10"/>
  <c r="S185" i="10"/>
  <c r="O185" i="10"/>
  <c r="K185" i="10"/>
  <c r="Z181" i="10"/>
  <c r="U179" i="10"/>
  <c r="M179" i="10"/>
  <c r="W175" i="10"/>
  <c r="R175" i="10"/>
  <c r="L175" i="10"/>
  <c r="R172" i="10"/>
  <c r="X169" i="10"/>
  <c r="R169" i="10"/>
  <c r="M169" i="10"/>
  <c r="V160" i="10"/>
  <c r="N160" i="10"/>
  <c r="AG159" i="10"/>
  <c r="R159" i="10"/>
  <c r="L159" i="10"/>
  <c r="Z155" i="10"/>
  <c r="AC155" i="10" s="1"/>
  <c r="Z153" i="10"/>
  <c r="W153" i="10"/>
  <c r="S153" i="10"/>
  <c r="O153" i="10"/>
  <c r="K153" i="10"/>
  <c r="V144" i="10"/>
  <c r="N144" i="10"/>
  <c r="W141" i="10"/>
  <c r="S141" i="10"/>
  <c r="O141" i="10"/>
  <c r="K141" i="10"/>
  <c r="U137" i="10"/>
  <c r="M137" i="10"/>
  <c r="W133" i="10"/>
  <c r="R133" i="10"/>
  <c r="M133" i="10"/>
  <c r="U127" i="10"/>
  <c r="M127" i="10"/>
  <c r="X126" i="10"/>
  <c r="V124" i="10"/>
  <c r="N124" i="10"/>
  <c r="V123" i="10"/>
  <c r="X120" i="10"/>
  <c r="G119" i="10"/>
  <c r="M119" i="10"/>
  <c r="R119" i="10"/>
  <c r="W119" i="10"/>
  <c r="R118" i="10"/>
  <c r="E114" i="10"/>
  <c r="AF114" i="10"/>
  <c r="H114" i="10"/>
  <c r="L114" i="10"/>
  <c r="P114" i="10"/>
  <c r="T114" i="10"/>
  <c r="X114" i="10"/>
  <c r="J113" i="10"/>
  <c r="R113" i="10"/>
  <c r="Z113" i="10"/>
  <c r="AD113" i="10" s="1"/>
  <c r="P94" i="10"/>
  <c r="N92" i="10"/>
  <c r="E90" i="10"/>
  <c r="J90" i="10"/>
  <c r="O90" i="10"/>
  <c r="U90" i="10"/>
  <c r="AG90" i="10"/>
  <c r="X88" i="10"/>
  <c r="R88" i="10"/>
  <c r="M88" i="10"/>
  <c r="J85" i="10"/>
  <c r="I84" i="10"/>
  <c r="N84" i="10"/>
  <c r="V84" i="10"/>
  <c r="E82" i="10"/>
  <c r="AF82" i="10"/>
  <c r="H82" i="10"/>
  <c r="L82" i="10"/>
  <c r="P82" i="10"/>
  <c r="T82" i="10"/>
  <c r="X82" i="10"/>
  <c r="R81" i="10"/>
  <c r="E78" i="10"/>
  <c r="AE78" i="10"/>
  <c r="H78" i="10"/>
  <c r="P78" i="10"/>
  <c r="X78" i="10"/>
  <c r="E76" i="10"/>
  <c r="E74" i="10"/>
  <c r="J74" i="10"/>
  <c r="O74" i="10"/>
  <c r="U74" i="10"/>
  <c r="U60" i="10"/>
  <c r="V58" i="10"/>
  <c r="O58" i="10"/>
  <c r="E55" i="10"/>
  <c r="N55" i="10"/>
  <c r="V55" i="10"/>
  <c r="J55" i="10"/>
  <c r="T55" i="10"/>
  <c r="AG52" i="10"/>
  <c r="R52" i="10"/>
  <c r="H118" i="10"/>
  <c r="P118" i="10"/>
  <c r="X118" i="10"/>
  <c r="J94" i="10"/>
  <c r="R94" i="10"/>
  <c r="G88" i="10"/>
  <c r="K88" i="10"/>
  <c r="O88" i="10"/>
  <c r="S88" i="10"/>
  <c r="W88" i="10"/>
  <c r="Z88" i="10"/>
  <c r="AC88" i="10" s="1"/>
  <c r="G60" i="10"/>
  <c r="O60" i="10"/>
  <c r="V60" i="10"/>
  <c r="M60" i="10"/>
  <c r="W60" i="10"/>
  <c r="I58" i="10"/>
  <c r="M58" i="10"/>
  <c r="Q58" i="10"/>
  <c r="U58" i="10"/>
  <c r="Y58" i="10"/>
  <c r="AA58" i="10" s="1"/>
  <c r="AG58" i="10"/>
  <c r="G58" i="10"/>
  <c r="L58" i="10"/>
  <c r="R58" i="10"/>
  <c r="W58" i="10"/>
  <c r="G52" i="10"/>
  <c r="N52" i="10"/>
  <c r="V52" i="10"/>
  <c r="K52" i="10"/>
  <c r="S52" i="10"/>
  <c r="E49" i="10"/>
  <c r="T49" i="10"/>
  <c r="H49" i="10"/>
  <c r="N49" i="10"/>
  <c r="J63" i="10"/>
  <c r="R63" i="10"/>
  <c r="Z63" i="10"/>
  <c r="L53" i="10"/>
  <c r="V53" i="10"/>
  <c r="W48" i="10"/>
  <c r="R48" i="10"/>
  <c r="M48" i="10"/>
  <c r="J46" i="10"/>
  <c r="O46" i="10"/>
  <c r="T46" i="10"/>
  <c r="Z46" i="10"/>
  <c r="AD46" i="10" s="1"/>
  <c r="R45" i="10"/>
  <c r="T43" i="10"/>
  <c r="AG42" i="10"/>
  <c r="X42" i="10"/>
  <c r="R42" i="10"/>
  <c r="M42" i="10"/>
  <c r="E39" i="10"/>
  <c r="AG38" i="10"/>
  <c r="L37" i="10"/>
  <c r="Z37" i="10"/>
  <c r="X27" i="10"/>
  <c r="X26" i="10"/>
  <c r="E48" i="10"/>
  <c r="AF48" i="10"/>
  <c r="H48" i="10"/>
  <c r="L48" i="10"/>
  <c r="P48" i="10"/>
  <c r="T48" i="10"/>
  <c r="X48" i="10"/>
  <c r="E45" i="10"/>
  <c r="AF45" i="10"/>
  <c r="N45" i="10"/>
  <c r="V45" i="10"/>
  <c r="L43" i="10"/>
  <c r="V43" i="10"/>
  <c r="G42" i="10"/>
  <c r="K42" i="10"/>
  <c r="O42" i="10"/>
  <c r="S42" i="10"/>
  <c r="W42" i="10"/>
  <c r="Z42" i="10"/>
  <c r="AD42" i="10" s="1"/>
  <c r="E38" i="10"/>
  <c r="AF38" i="10"/>
  <c r="Z38" i="10"/>
  <c r="AC38" i="10" s="1"/>
  <c r="H29" i="10"/>
  <c r="P29" i="10"/>
  <c r="L29" i="10"/>
  <c r="V29" i="10"/>
  <c r="E27" i="10"/>
  <c r="AE27" i="10"/>
  <c r="N27" i="10"/>
  <c r="V27" i="10"/>
  <c r="J27" i="10"/>
  <c r="R27" i="10"/>
  <c r="Z27" i="10"/>
  <c r="AC27" i="10" s="1"/>
  <c r="L26" i="10"/>
  <c r="R26" i="10"/>
  <c r="AG26" i="10"/>
  <c r="H26" i="10"/>
  <c r="P26" i="10"/>
  <c r="V26" i="10"/>
  <c r="E21" i="10"/>
  <c r="N21" i="10"/>
  <c r="V21" i="10"/>
  <c r="H21" i="10"/>
  <c r="P21" i="10"/>
  <c r="X21" i="10"/>
  <c r="J21" i="10"/>
  <c r="R21" i="10"/>
  <c r="Z21" i="10"/>
  <c r="AC21" i="10" s="1"/>
  <c r="Z24" i="10"/>
  <c r="W24" i="10"/>
  <c r="S24" i="10"/>
  <c r="O24" i="10"/>
  <c r="K24" i="10"/>
  <c r="G24" i="10"/>
  <c r="V20" i="10"/>
  <c r="P20" i="10"/>
  <c r="H20" i="10"/>
  <c r="X19" i="10"/>
  <c r="L19" i="10"/>
  <c r="AD16" i="10"/>
  <c r="R16" i="10"/>
  <c r="E13" i="10"/>
  <c r="AF13" i="10"/>
  <c r="P13" i="10"/>
  <c r="E12" i="10"/>
  <c r="I12" i="10"/>
  <c r="H9" i="10"/>
  <c r="P9" i="10"/>
  <c r="X9" i="10"/>
  <c r="J9" i="10"/>
  <c r="R9" i="10"/>
  <c r="Z9" i="10"/>
  <c r="AC9" i="10"/>
  <c r="G16" i="10"/>
  <c r="O16" i="10"/>
  <c r="V16" i="10"/>
  <c r="X34" i="10"/>
  <c r="T34" i="10"/>
  <c r="P34" i="10"/>
  <c r="L34" i="10"/>
  <c r="H34" i="10"/>
  <c r="R33" i="10"/>
  <c r="Z28" i="10"/>
  <c r="Y24" i="10"/>
  <c r="AA24" i="10" s="1"/>
  <c r="U24" i="10"/>
  <c r="Q24" i="10"/>
  <c r="M24" i="10"/>
  <c r="Z23" i="10"/>
  <c r="Y22" i="10"/>
  <c r="AB22" i="10" s="1"/>
  <c r="S22" i="10"/>
  <c r="N22" i="10"/>
  <c r="AG20" i="10"/>
  <c r="R20" i="10"/>
  <c r="X18" i="10"/>
  <c r="T18" i="10"/>
  <c r="P18" i="10"/>
  <c r="L18" i="10"/>
  <c r="H18" i="10"/>
  <c r="AG16" i="10"/>
  <c r="W16" i="10"/>
  <c r="L16" i="10"/>
  <c r="V13" i="10"/>
  <c r="H13" i="10"/>
  <c r="H12" i="10"/>
  <c r="L9" i="10"/>
  <c r="L5" i="10"/>
  <c r="N5" i="10"/>
  <c r="Y6" i="10"/>
  <c r="U6" i="10"/>
  <c r="Q6" i="10"/>
  <c r="M6" i="10"/>
  <c r="X4" i="10"/>
  <c r="S4" i="10"/>
  <c r="N4" i="10"/>
  <c r="AF78" i="10"/>
  <c r="AF233" i="10"/>
  <c r="AD192" i="10"/>
  <c r="AF261" i="10"/>
  <c r="AE261" i="10"/>
  <c r="AE309" i="10"/>
  <c r="AF309" i="10"/>
  <c r="AE389" i="10"/>
  <c r="AF389" i="10"/>
  <c r="AE416" i="10"/>
  <c r="AF416" i="10"/>
  <c r="AE69" i="10"/>
  <c r="AE396" i="10"/>
  <c r="AF21" i="10"/>
  <c r="AE21" i="10"/>
  <c r="AE38" i="10"/>
  <c r="AE39" i="10"/>
  <c r="AF39" i="10"/>
  <c r="AC46" i="10"/>
  <c r="AD88" i="10"/>
  <c r="AD17" i="10"/>
  <c r="AC17" i="10"/>
  <c r="AF170" i="10"/>
  <c r="AE170" i="10"/>
  <c r="AB233" i="10"/>
  <c r="AA233" i="10"/>
  <c r="AC73" i="10"/>
  <c r="AA289" i="10"/>
  <c r="AE239" i="10"/>
  <c r="AF257" i="10"/>
  <c r="AF295" i="10"/>
  <c r="AF287" i="10"/>
  <c r="AF317" i="10"/>
  <c r="AE317" i="10"/>
  <c r="AA244" i="10"/>
  <c r="AF319" i="10"/>
  <c r="AE319" i="10"/>
  <c r="AF379" i="10"/>
  <c r="AC134" i="10"/>
  <c r="AF216" i="10"/>
  <c r="AE216" i="10"/>
  <c r="AF419" i="10"/>
  <c r="AE419" i="10"/>
  <c r="AF212" i="10"/>
  <c r="AE212" i="10"/>
  <c r="AF381" i="10"/>
  <c r="AB291" i="10"/>
  <c r="AE291" i="10"/>
  <c r="AF291" i="10"/>
  <c r="AB356" i="10"/>
  <c r="AC69" i="10"/>
  <c r="AE401" i="10"/>
  <c r="AF401" i="10"/>
  <c r="AE45" i="10"/>
  <c r="AE32" i="10"/>
  <c r="AF32" i="10"/>
  <c r="AF177" i="10"/>
  <c r="AE177" i="10"/>
  <c r="AE121" i="10"/>
  <c r="AF121" i="10"/>
  <c r="AA408" i="10"/>
  <c r="AE72" i="10"/>
  <c r="AF72" i="10"/>
  <c r="AD79" i="10"/>
  <c r="AF237" i="10"/>
  <c r="AE237" i="10"/>
  <c r="AE342" i="10"/>
  <c r="AC61" i="10"/>
  <c r="AF195" i="10"/>
  <c r="AB418" i="10"/>
  <c r="AB394" i="10"/>
  <c r="AA394" i="10"/>
  <c r="AA212" i="10"/>
  <c r="AB212" i="10"/>
  <c r="AE48" i="10"/>
  <c r="AE49" i="10"/>
  <c r="AF49" i="10"/>
  <c r="AE80" i="10"/>
  <c r="AF147" i="10"/>
  <c r="AE147" i="10"/>
  <c r="AC258" i="10"/>
  <c r="AB305" i="10"/>
  <c r="AA305" i="10"/>
  <c r="AF305" i="10"/>
  <c r="AD323" i="10"/>
  <c r="AE350" i="10"/>
  <c r="AD72" i="10"/>
  <c r="AE289" i="10"/>
  <c r="AF289" i="10"/>
  <c r="AB342" i="10"/>
  <c r="AF362" i="10"/>
  <c r="AE362" i="10"/>
  <c r="AF307" i="10"/>
  <c r="AE307" i="10"/>
  <c r="AE329" i="10"/>
  <c r="AF329" i="10"/>
  <c r="AC195" i="10"/>
  <c r="AF281" i="10"/>
  <c r="AE281" i="10"/>
  <c r="AA285" i="10"/>
  <c r="AE285" i="10"/>
  <c r="AF285" i="10"/>
  <c r="AA328" i="10"/>
  <c r="AE368" i="10"/>
  <c r="AF368" i="10"/>
  <c r="AE380" i="10"/>
  <c r="M13" i="5"/>
  <c r="S13" i="5"/>
  <c r="AE393" i="10"/>
  <c r="AD393" i="10"/>
  <c r="AF394" i="10"/>
  <c r="AE394" i="10"/>
  <c r="AF242" i="10"/>
  <c r="AE242" i="10"/>
  <c r="AB24" i="10"/>
  <c r="AF74" i="10"/>
  <c r="AE74" i="10"/>
  <c r="AF90" i="10"/>
  <c r="AE90" i="10"/>
  <c r="AE68" i="10"/>
  <c r="AF154" i="10"/>
  <c r="AE154" i="10"/>
  <c r="AE209" i="10"/>
  <c r="AF209" i="10"/>
  <c r="AE173" i="10"/>
  <c r="AF173" i="10"/>
  <c r="AE201" i="10"/>
  <c r="AF333" i="10"/>
  <c r="AE340" i="10"/>
  <c r="AF135" i="10"/>
  <c r="AE135" i="10"/>
  <c r="AF192" i="10"/>
  <c r="AE192" i="10"/>
  <c r="AF70" i="10"/>
  <c r="AE70" i="10"/>
  <c r="AA307" i="10"/>
  <c r="AB307" i="10"/>
  <c r="AA330" i="10"/>
  <c r="AD331" i="10"/>
  <c r="AF164" i="10"/>
  <c r="AE164" i="10"/>
  <c r="AF249" i="10"/>
  <c r="AE249" i="10"/>
  <c r="AA319" i="10"/>
  <c r="AD285" i="10"/>
  <c r="AF418" i="10"/>
  <c r="AE418" i="10"/>
  <c r="S16" i="5"/>
  <c r="M16" i="5"/>
  <c r="AC394" i="10"/>
  <c r="AF400" i="10"/>
  <c r="AE313" i="10"/>
  <c r="AF313" i="10"/>
  <c r="AF356" i="10"/>
  <c r="AE356" i="10"/>
  <c r="AE375" i="10"/>
  <c r="AF259" i="10"/>
  <c r="AE259" i="10"/>
  <c r="AE59" i="10"/>
  <c r="AF59" i="10"/>
  <c r="AC401" i="10"/>
  <c r="AD9" i="10"/>
  <c r="AC80" i="10"/>
  <c r="AC107" i="10"/>
  <c r="AD107" i="10"/>
  <c r="AC165" i="10"/>
  <c r="AD3" i="10"/>
  <c r="AD81" i="10"/>
  <c r="AA54" i="10"/>
  <c r="AB54" i="10"/>
  <c r="AC43" i="10"/>
  <c r="AB137" i="10"/>
  <c r="AA137" i="10"/>
  <c r="AD146" i="10"/>
  <c r="AC146" i="10"/>
  <c r="AA96" i="10"/>
  <c r="AB317" i="10"/>
  <c r="AA372" i="10"/>
  <c r="AC252" i="10"/>
  <c r="AC292" i="10"/>
  <c r="AB368" i="10"/>
  <c r="AD84" i="10"/>
  <c r="AA49" i="10"/>
  <c r="AB49" i="10"/>
  <c r="AA85" i="10"/>
  <c r="AB126" i="10"/>
  <c r="AA126" i="10"/>
  <c r="AD351" i="10"/>
  <c r="AC191" i="10"/>
  <c r="AC268" i="10"/>
  <c r="AD268" i="10"/>
  <c r="AB253" i="10"/>
  <c r="AA271" i="10"/>
  <c r="AB271" i="10"/>
  <c r="AD305" i="10"/>
  <c r="AC239" i="10"/>
  <c r="AD239" i="10"/>
  <c r="AD392" i="10"/>
  <c r="AC392" i="10"/>
  <c r="AD410" i="10"/>
  <c r="AB315" i="10"/>
  <c r="AA315" i="10"/>
  <c r="AD420" i="10"/>
  <c r="AC420" i="10"/>
  <c r="AA69" i="10"/>
  <c r="AB69" i="10"/>
  <c r="AA44" i="10"/>
  <c r="AB44" i="10"/>
  <c r="AC54" i="10"/>
  <c r="AD54" i="10"/>
  <c r="AD92" i="10"/>
  <c r="AC92" i="10"/>
  <c r="AB115" i="10"/>
  <c r="AA115" i="10"/>
  <c r="AD117" i="10"/>
  <c r="AC117" i="10"/>
  <c r="AA295" i="10"/>
  <c r="AC357" i="10"/>
  <c r="AD357" i="10"/>
  <c r="AC243" i="10"/>
  <c r="AB416" i="10"/>
  <c r="AA416" i="10"/>
  <c r="AC396" i="10"/>
  <c r="AA45" i="10"/>
  <c r="AB45" i="10"/>
  <c r="AA130" i="10"/>
  <c r="AB105" i="10"/>
  <c r="AD145" i="10"/>
  <c r="AC145" i="10"/>
  <c r="AD118" i="10"/>
  <c r="AC118" i="10"/>
  <c r="AB34" i="10"/>
  <c r="AA34" i="10"/>
  <c r="AD22" i="10"/>
  <c r="AC22" i="10"/>
  <c r="AD339" i="10"/>
  <c r="AA393" i="10"/>
  <c r="AD78" i="10"/>
  <c r="AB287" i="10"/>
  <c r="AA287" i="10"/>
  <c r="AD343" i="10"/>
  <c r="AD322" i="10"/>
  <c r="AC322" i="10"/>
  <c r="AA138" i="10"/>
  <c r="AB138" i="10"/>
  <c r="AB113" i="10"/>
  <c r="AA113" i="10"/>
  <c r="AD313" i="10"/>
  <c r="AC313" i="10"/>
  <c r="AA92" i="10"/>
  <c r="AB92" i="10"/>
  <c r="AC86" i="10"/>
  <c r="AD86" i="10"/>
  <c r="AC166" i="10"/>
  <c r="AD166" i="10"/>
  <c r="AD329" i="10"/>
  <c r="AC329" i="10"/>
  <c r="AA43" i="10"/>
  <c r="AB226" i="10"/>
  <c r="AA226" i="10"/>
  <c r="AA326" i="10"/>
  <c r="AB326" i="10"/>
  <c r="AB363" i="10"/>
  <c r="AA363" i="10"/>
  <c r="AA397" i="10"/>
  <c r="AB397" i="10"/>
  <c r="AD265" i="10"/>
  <c r="AC265" i="10"/>
  <c r="AB245" i="10"/>
  <c r="AA245" i="10"/>
  <c r="AB133" i="10"/>
  <c r="AA133" i="10"/>
  <c r="AC203" i="10"/>
  <c r="AC110" i="10"/>
  <c r="AD123" i="10"/>
  <c r="AC126" i="10"/>
  <c r="AD126" i="10"/>
  <c r="AD253" i="10"/>
  <c r="AC278" i="10"/>
  <c r="AD278" i="10"/>
  <c r="AA23" i="10"/>
  <c r="AB83" i="10"/>
  <c r="AA83" i="10"/>
  <c r="AA414" i="10"/>
  <c r="AD127" i="10"/>
  <c r="AC127" i="10"/>
  <c r="AC7" i="10"/>
  <c r="AD7" i="10"/>
  <c r="AD215" i="10"/>
  <c r="AC215" i="10"/>
  <c r="AD358" i="10"/>
  <c r="AC358" i="10"/>
  <c r="AA218" i="10"/>
  <c r="AB218" i="10"/>
  <c r="AD344" i="10"/>
  <c r="AC344" i="10"/>
  <c r="AC156" i="10"/>
  <c r="AD156" i="10"/>
  <c r="AD53" i="10"/>
  <c r="AC53" i="10"/>
  <c r="AD422" i="10"/>
  <c r="AC422" i="10"/>
  <c r="AA53" i="10"/>
  <c r="AB79" i="10"/>
  <c r="AA79" i="10"/>
  <c r="AD24" i="10"/>
  <c r="AC24" i="10"/>
  <c r="AD27" i="10"/>
  <c r="AD37" i="10"/>
  <c r="AC37" i="10"/>
  <c r="AC185" i="10"/>
  <c r="AC150" i="10"/>
  <c r="AD150" i="10"/>
  <c r="AA281" i="10"/>
  <c r="AB281" i="10"/>
  <c r="AA259" i="10"/>
  <c r="AC113" i="10"/>
  <c r="AD77" i="10"/>
  <c r="AB402" i="10"/>
  <c r="AC190" i="10"/>
  <c r="AD190" i="10"/>
  <c r="AB59" i="10"/>
  <c r="AB26" i="10"/>
  <c r="AA26" i="10"/>
  <c r="AB17" i="10"/>
  <c r="AA17" i="10"/>
  <c r="AA33" i="10"/>
  <c r="AC419" i="10"/>
  <c r="AD419" i="10"/>
  <c r="AD212" i="10"/>
  <c r="AC212" i="10"/>
  <c r="AA400" i="10"/>
  <c r="AB400" i="10"/>
  <c r="AA313" i="10"/>
  <c r="AB313" i="10"/>
  <c r="AD70" i="10"/>
  <c r="AC70" i="10"/>
  <c r="AC143" i="10"/>
  <c r="AD143" i="10"/>
  <c r="AA110" i="10"/>
  <c r="AB110" i="10"/>
  <c r="AD186" i="10"/>
  <c r="AC186" i="10"/>
  <c r="AD273" i="10"/>
  <c r="AC273" i="10"/>
  <c r="AD209" i="10"/>
  <c r="AD306" i="10"/>
  <c r="AC306" i="10"/>
  <c r="AB166" i="10"/>
  <c r="AA166" i="10"/>
  <c r="AA230" i="10"/>
  <c r="AB230" i="10"/>
  <c r="AA306" i="10"/>
  <c r="AB306" i="10"/>
  <c r="AC369" i="10"/>
  <c r="AC75" i="10"/>
  <c r="AA84" i="10"/>
  <c r="AA343" i="10"/>
  <c r="AD20" i="10"/>
  <c r="AC62" i="10"/>
  <c r="AD168" i="10"/>
  <c r="AC25" i="10"/>
  <c r="AB62" i="10"/>
  <c r="AC91" i="10"/>
  <c r="AD91" i="10"/>
  <c r="AA117" i="10"/>
  <c r="AB117" i="10"/>
  <c r="AD102" i="10"/>
  <c r="AC102" i="10"/>
  <c r="AB191" i="10"/>
  <c r="AA191" i="10"/>
  <c r="AB205" i="10"/>
  <c r="AB11" i="10"/>
  <c r="AB214" i="10"/>
  <c r="AB290" i="10"/>
  <c r="AB324" i="10"/>
  <c r="AA324" i="10"/>
  <c r="AA101" i="10"/>
  <c r="AB211" i="10"/>
  <c r="AC67" i="10"/>
  <c r="AB354" i="10"/>
  <c r="AB331" i="10"/>
  <c r="AA333" i="10"/>
  <c r="AA421" i="10"/>
  <c r="AB421" i="10"/>
  <c r="AD336" i="10"/>
  <c r="AC336" i="10"/>
  <c r="AC236" i="10"/>
  <c r="AD236" i="10"/>
  <c r="AB250" i="10"/>
  <c r="AA250" i="10"/>
  <c r="AB369" i="10"/>
  <c r="AC377" i="10"/>
  <c r="AD377" i="10"/>
  <c r="AC128" i="10"/>
  <c r="AB74" i="10"/>
  <c r="AD39" i="10"/>
  <c r="AA304" i="10"/>
  <c r="AB304" i="10"/>
  <c r="AA155" i="10"/>
  <c r="AB155" i="10"/>
  <c r="AA174" i="10"/>
  <c r="AB174" i="10"/>
  <c r="AA238" i="10"/>
  <c r="AA75" i="10"/>
  <c r="AB75" i="10"/>
  <c r="AA298" i="10"/>
  <c r="AB298" i="10"/>
  <c r="AB308" i="10"/>
  <c r="AA308" i="10"/>
  <c r="AB314" i="10"/>
  <c r="AA314" i="10"/>
  <c r="AA348" i="10"/>
  <c r="AB348" i="10"/>
  <c r="AC320" i="10"/>
  <c r="AD320" i="10"/>
  <c r="AA150" i="10"/>
  <c r="AB150" i="10"/>
  <c r="AA182" i="10"/>
  <c r="AB182" i="10"/>
  <c r="AA395" i="10"/>
  <c r="AB395" i="10"/>
  <c r="AB300" i="10"/>
  <c r="AA300" i="10"/>
  <c r="AC246" i="10"/>
  <c r="AD246" i="10"/>
  <c r="AC180" i="10"/>
  <c r="AD180" i="10"/>
  <c r="AB163" i="10"/>
  <c r="AA163" i="10"/>
  <c r="AC50" i="10"/>
  <c r="AD50" i="10"/>
  <c r="AD47" i="10"/>
  <c r="AC47" i="10"/>
  <c r="AC45" i="10"/>
  <c r="AD45" i="10"/>
  <c r="AC354" i="10"/>
  <c r="AD154" i="10"/>
  <c r="AC154" i="10"/>
  <c r="AC397" i="10"/>
  <c r="AD397" i="10"/>
  <c r="AA339" i="10"/>
  <c r="AB339" i="10"/>
  <c r="AA359" i="10"/>
  <c r="AB359" i="10"/>
  <c r="AD414" i="10"/>
  <c r="AC414" i="10"/>
  <c r="AB382" i="10"/>
  <c r="AA382" i="10"/>
  <c r="AB327" i="10"/>
  <c r="AA327" i="10"/>
  <c r="AC295" i="10"/>
  <c r="AD295" i="10"/>
  <c r="AB243" i="10"/>
  <c r="AA243" i="10"/>
  <c r="AC226" i="10"/>
  <c r="AD226" i="10"/>
  <c r="AD124" i="10"/>
  <c r="AC124" i="10"/>
  <c r="AD104" i="10"/>
  <c r="AC104" i="10"/>
  <c r="AD99" i="10"/>
  <c r="AC99" i="10"/>
  <c r="AB30" i="10"/>
  <c r="AA30" i="10"/>
  <c r="AB127" i="10"/>
  <c r="AA127" i="10"/>
  <c r="AA100" i="10"/>
  <c r="AB100" i="10"/>
  <c r="AC136" i="10"/>
  <c r="AD136" i="10"/>
  <c r="AB406" i="10"/>
  <c r="AD415" i="10"/>
  <c r="AC415" i="10"/>
  <c r="AA122" i="10"/>
  <c r="AB122" i="10"/>
  <c r="AA385" i="10"/>
  <c r="AB385" i="10"/>
  <c r="AC95" i="10"/>
  <c r="AD95" i="10"/>
  <c r="AC135" i="10"/>
  <c r="AD135" i="10"/>
  <c r="AD309" i="10"/>
  <c r="AC309" i="10"/>
  <c r="AC314" i="10"/>
  <c r="AD314" i="10"/>
  <c r="AA109" i="10"/>
  <c r="AB109" i="10"/>
  <c r="AD338" i="10"/>
  <c r="AC338" i="10"/>
  <c r="AD379" i="10"/>
  <c r="AC49" i="10"/>
  <c r="AD49" i="10"/>
  <c r="AD76" i="10"/>
  <c r="AC76" i="10"/>
  <c r="AC30" i="10"/>
  <c r="AD30" i="10"/>
  <c r="AC148" i="10"/>
  <c r="AD148" i="10"/>
  <c r="AB193" i="10"/>
  <c r="AA193" i="10"/>
  <c r="AA181" i="10"/>
  <c r="AB181" i="10"/>
  <c r="AC270" i="10"/>
  <c r="AD270" i="10"/>
  <c r="AC214" i="10"/>
  <c r="AD214" i="10"/>
  <c r="AC233" i="10"/>
  <c r="AD233" i="10"/>
  <c r="AA161" i="10"/>
  <c r="AB161" i="10"/>
  <c r="AA279" i="10"/>
  <c r="AB279" i="10"/>
  <c r="AD390" i="10"/>
  <c r="AC390" i="10"/>
  <c r="AB39" i="10"/>
  <c r="AA39" i="10"/>
  <c r="AA136" i="10"/>
  <c r="AB136" i="10"/>
  <c r="AB196" i="10"/>
  <c r="AA196" i="10"/>
  <c r="AD201" i="10"/>
  <c r="AC201" i="10"/>
  <c r="AB190" i="10"/>
  <c r="AB373" i="10"/>
  <c r="AA107" i="10"/>
  <c r="AB107" i="10"/>
  <c r="AC115" i="10"/>
  <c r="AD115" i="10"/>
  <c r="AA128" i="10"/>
  <c r="AB128" i="10"/>
  <c r="AC42" i="10"/>
  <c r="AC68" i="10"/>
  <c r="AD219" i="10"/>
  <c r="AC219" i="10"/>
  <c r="AB121" i="10"/>
  <c r="AA121" i="10"/>
  <c r="AD261" i="10"/>
  <c r="AC261" i="10"/>
  <c r="AC284" i="10"/>
  <c r="AD284" i="10"/>
  <c r="AC307" i="10"/>
  <c r="AD307" i="10"/>
  <c r="AB216" i="10"/>
  <c r="AA216" i="10"/>
  <c r="AD297" i="10"/>
  <c r="AC297" i="10"/>
  <c r="AB380" i="10"/>
  <c r="AA380" i="10"/>
  <c r="AD247" i="10"/>
  <c r="AC247" i="10"/>
  <c r="AA249" i="10"/>
  <c r="AB249" i="10"/>
  <c r="AC328" i="10"/>
  <c r="AD328" i="10"/>
  <c r="AA311" i="10"/>
  <c r="AB311" i="10"/>
  <c r="AD405" i="10"/>
  <c r="AC405" i="10"/>
  <c r="AD277" i="10"/>
  <c r="AA257" i="10"/>
  <c r="AB94" i="10"/>
  <c r="AC142" i="10"/>
  <c r="AD142" i="10"/>
  <c r="AC272" i="10"/>
  <c r="AD272" i="10"/>
  <c r="AC398" i="10"/>
  <c r="AD398" i="10"/>
  <c r="AA77" i="10"/>
  <c r="AB77" i="10"/>
  <c r="AB186" i="10"/>
  <c r="AA186" i="10"/>
  <c r="AB194" i="10"/>
  <c r="AA194" i="10"/>
  <c r="AC411" i="10"/>
  <c r="AD411" i="10"/>
  <c r="AD308" i="10"/>
  <c r="AC308" i="10"/>
  <c r="AC286" i="10"/>
  <c r="AA22" i="10"/>
  <c r="AD161" i="10"/>
  <c r="AC161" i="10"/>
  <c r="AA135" i="10"/>
  <c r="AB239" i="10"/>
  <c r="AA239" i="10"/>
  <c r="AB221" i="10"/>
  <c r="AC298" i="10"/>
  <c r="AC85" i="10"/>
  <c r="AD85" i="10"/>
  <c r="AA19" i="10"/>
  <c r="AB19" i="10"/>
  <c r="AA210" i="10"/>
  <c r="AB210" i="10"/>
  <c r="AA248" i="10"/>
  <c r="AB248" i="10"/>
  <c r="AC304" i="10"/>
  <c r="AD304" i="10"/>
  <c r="AA90" i="10"/>
  <c r="AD57" i="10"/>
  <c r="AB50" i="10"/>
  <c r="AE57" i="10"/>
  <c r="AF57" i="10"/>
  <c r="AF300" i="10"/>
  <c r="AE300" i="10"/>
  <c r="AF304" i="10"/>
  <c r="AE304" i="10"/>
  <c r="AE308" i="10"/>
  <c r="AF308" i="10"/>
  <c r="S15" i="5"/>
  <c r="M15" i="5"/>
  <c r="M21" i="5"/>
  <c r="S21" i="5"/>
  <c r="AB236" i="10"/>
  <c r="AA236" i="10"/>
  <c r="AB378" i="10"/>
  <c r="AA378" i="10"/>
  <c r="AE383" i="10"/>
  <c r="AF383" i="10"/>
  <c r="AC237" i="10"/>
  <c r="AD302" i="10"/>
  <c r="AB31" i="10"/>
  <c r="AA31" i="10"/>
  <c r="AF64" i="10"/>
  <c r="AE64" i="10"/>
  <c r="AC349" i="10"/>
  <c r="AD349" i="10"/>
  <c r="AC51" i="10"/>
  <c r="AD51" i="10"/>
  <c r="AD83" i="10"/>
  <c r="AC83" i="10"/>
  <c r="AE178" i="10"/>
  <c r="AF178" i="10"/>
  <c r="AD202" i="10"/>
  <c r="AC202" i="10"/>
  <c r="AA227" i="10"/>
  <c r="AB227" i="10"/>
  <c r="AC224" i="10"/>
  <c r="AD224" i="10"/>
  <c r="AF279" i="10"/>
  <c r="AE279" i="10"/>
  <c r="AF335" i="10"/>
  <c r="AE335" i="10"/>
  <c r="AD373" i="10"/>
  <c r="AC373" i="10"/>
  <c r="AA355" i="10"/>
  <c r="AB355" i="10"/>
  <c r="AD28" i="10"/>
  <c r="AC28" i="10"/>
  <c r="AF55" i="10"/>
  <c r="AE55" i="10"/>
  <c r="AF76" i="10"/>
  <c r="AE76" i="10"/>
  <c r="AA176" i="10"/>
  <c r="AB176" i="10"/>
  <c r="AC176" i="10"/>
  <c r="AD176" i="10"/>
  <c r="AA131" i="10"/>
  <c r="AB131" i="10"/>
  <c r="AD412" i="10"/>
  <c r="AC412" i="10"/>
  <c r="AD147" i="10"/>
  <c r="AC290" i="10"/>
  <c r="AD290" i="10"/>
  <c r="AF323" i="10"/>
  <c r="AE323" i="10"/>
  <c r="AC122" i="10"/>
  <c r="AF19" i="10"/>
  <c r="AE19" i="10"/>
  <c r="AC26" i="10"/>
  <c r="AB179" i="10"/>
  <c r="AA179" i="10"/>
  <c r="AD294" i="10"/>
  <c r="AC294" i="10"/>
  <c r="AE211" i="10"/>
  <c r="AF211" i="10"/>
  <c r="AF351" i="10"/>
  <c r="AE351" i="10"/>
  <c r="AF361" i="10"/>
  <c r="AE361" i="10"/>
  <c r="AF107" i="10"/>
  <c r="AB67" i="10"/>
  <c r="AA67" i="10"/>
  <c r="AA89" i="10"/>
  <c r="AB89" i="10"/>
  <c r="AA93" i="10"/>
  <c r="AB93" i="10"/>
  <c r="AA142" i="10"/>
  <c r="AB142" i="10"/>
  <c r="AB162" i="10"/>
  <c r="AA162" i="10"/>
  <c r="AB87" i="10"/>
  <c r="AA87" i="10"/>
  <c r="AB91" i="10"/>
  <c r="AA91" i="10"/>
  <c r="AB294" i="10"/>
  <c r="AB347" i="10"/>
  <c r="AA347" i="10"/>
  <c r="AA353" i="10"/>
  <c r="AB353" i="10"/>
  <c r="AF186" i="10"/>
  <c r="AE186" i="10"/>
  <c r="AA149" i="10"/>
  <c r="AB149" i="10"/>
  <c r="AC291" i="10"/>
  <c r="AD291" i="10"/>
  <c r="AD356" i="10"/>
  <c r="AC356" i="10"/>
  <c r="AA401" i="10"/>
  <c r="AB401" i="10"/>
  <c r="AA16" i="10"/>
  <c r="AB16" i="10"/>
  <c r="AC94" i="10"/>
  <c r="AD94" i="10"/>
  <c r="AE35" i="10"/>
  <c r="AF35" i="10"/>
  <c r="AE134" i="10"/>
  <c r="AF134" i="10"/>
  <c r="AE166" i="10"/>
  <c r="AF166" i="10"/>
  <c r="AF171" i="10"/>
  <c r="AE171" i="10"/>
  <c r="AC178" i="10"/>
  <c r="AD178" i="10"/>
  <c r="AE188" i="10"/>
  <c r="AF188" i="10"/>
  <c r="AB261" i="10"/>
  <c r="AA261" i="10"/>
  <c r="AF315" i="10"/>
  <c r="AE315" i="10"/>
  <c r="AA392" i="10"/>
  <c r="AB392" i="10"/>
  <c r="AE301" i="10"/>
  <c r="AF301" i="10"/>
  <c r="AB178" i="10"/>
  <c r="AA178" i="10"/>
  <c r="AA278" i="10"/>
  <c r="AB278" i="10"/>
  <c r="AA284" i="10"/>
  <c r="AF262" i="10"/>
  <c r="AE262" i="10"/>
  <c r="AE282" i="10"/>
  <c r="AF282" i="10"/>
  <c r="AC153" i="10"/>
  <c r="AD153" i="10"/>
  <c r="AC181" i="10"/>
  <c r="AD181" i="10"/>
  <c r="AD96" i="10"/>
  <c r="AC96" i="10"/>
  <c r="AC340" i="10"/>
  <c r="AF117" i="10"/>
  <c r="AE117" i="10"/>
  <c r="AF168" i="10"/>
  <c r="AE168" i="10"/>
  <c r="AC59" i="10"/>
  <c r="AD59" i="10"/>
  <c r="AB4" i="10"/>
  <c r="AA4" i="10"/>
  <c r="AE8" i="10"/>
  <c r="AF8" i="10"/>
  <c r="AE67" i="10"/>
  <c r="AF67" i="10"/>
  <c r="AE136" i="10"/>
  <c r="AF136" i="10"/>
  <c r="AC108" i="10"/>
  <c r="AD108" i="10"/>
  <c r="AF253" i="10"/>
  <c r="AE253" i="10"/>
  <c r="B21" i="3"/>
  <c r="C20" i="3"/>
  <c r="AA316" i="10"/>
  <c r="AB316" i="10"/>
  <c r="AB367" i="10"/>
  <c r="AA367" i="10"/>
  <c r="AF324" i="10"/>
  <c r="AE324" i="10"/>
  <c r="AE328" i="10"/>
  <c r="AF328" i="10"/>
  <c r="AC400" i="10"/>
  <c r="AD400" i="10"/>
  <c r="AE330" i="10"/>
  <c r="AF330" i="10"/>
  <c r="AB296" i="10"/>
  <c r="AA296" i="10"/>
  <c r="R19" i="5"/>
  <c r="U418" i="10"/>
  <c r="J418" i="10"/>
  <c r="T418" i="10"/>
  <c r="Q418" i="10"/>
  <c r="AG418" i="10"/>
  <c r="R418" i="10"/>
  <c r="N418" i="10"/>
  <c r="G408" i="10"/>
  <c r="O408" i="10"/>
  <c r="V408" i="10"/>
  <c r="E408" i="10"/>
  <c r="Q408" i="10"/>
  <c r="Z408" i="10"/>
  <c r="AD408" i="10" s="1"/>
  <c r="T408" i="10"/>
  <c r="G384" i="10"/>
  <c r="N384" i="10"/>
  <c r="V384" i="10"/>
  <c r="L384" i="10"/>
  <c r="X384" i="10"/>
  <c r="M384" i="10"/>
  <c r="W384" i="10"/>
  <c r="J376" i="10"/>
  <c r="N376" i="10"/>
  <c r="R376" i="10"/>
  <c r="Z376" i="10"/>
  <c r="AC376" i="10" s="1"/>
  <c r="O376" i="10"/>
  <c r="X376" i="10"/>
  <c r="H376" i="10"/>
  <c r="Q376" i="10"/>
  <c r="N341" i="10"/>
  <c r="Z341" i="10"/>
  <c r="Y341" i="10"/>
  <c r="AA341" i="10" s="1"/>
  <c r="S341" i="10"/>
  <c r="K341" i="10"/>
  <c r="T341" i="10"/>
  <c r="P341" i="10"/>
  <c r="N319" i="10"/>
  <c r="V319" i="10"/>
  <c r="H319" i="10"/>
  <c r="X319" i="10"/>
  <c r="U319" i="10"/>
  <c r="O319" i="10"/>
  <c r="K319" i="10"/>
  <c r="G313" i="10"/>
  <c r="W313" i="10"/>
  <c r="L313" i="10"/>
  <c r="I313" i="10"/>
  <c r="R313" i="10"/>
  <c r="AG313" i="10"/>
  <c r="R312" i="10"/>
  <c r="T312" i="10"/>
  <c r="I312" i="10"/>
  <c r="Q312" i="10"/>
  <c r="Y312" i="10"/>
  <c r="J294" i="10"/>
  <c r="H294" i="10"/>
  <c r="R294" i="10"/>
  <c r="T294" i="10"/>
  <c r="E294" i="10"/>
  <c r="M294" i="10"/>
  <c r="U294" i="10"/>
  <c r="AG294" i="10"/>
  <c r="H286" i="10"/>
  <c r="V286" i="10"/>
  <c r="X286" i="10"/>
  <c r="I286" i="10"/>
  <c r="Q286" i="10"/>
  <c r="Y286" i="10"/>
  <c r="P281" i="10"/>
  <c r="AG281" i="10"/>
  <c r="O281" i="10"/>
  <c r="H281" i="10"/>
  <c r="I281" i="10"/>
  <c r="G281" i="10"/>
  <c r="U281" i="10"/>
  <c r="G277" i="10"/>
  <c r="L277" i="10"/>
  <c r="Q277" i="10"/>
  <c r="V277" i="10"/>
  <c r="E277" i="10"/>
  <c r="H277" i="10"/>
  <c r="M277" i="10"/>
  <c r="R277" i="10"/>
  <c r="X277" i="10"/>
  <c r="N277" i="10"/>
  <c r="Y277" i="10"/>
  <c r="AA277" i="10" s="1"/>
  <c r="H270" i="10"/>
  <c r="N270" i="10"/>
  <c r="X270" i="10"/>
  <c r="K270" i="10"/>
  <c r="S270" i="10"/>
  <c r="AG270" i="10"/>
  <c r="G261" i="10"/>
  <c r="O261" i="10"/>
  <c r="R261" i="10"/>
  <c r="U261" i="10"/>
  <c r="X261" i="10"/>
  <c r="H261" i="10"/>
  <c r="E252" i="10"/>
  <c r="N252" i="10"/>
  <c r="W252" i="10"/>
  <c r="O252" i="10"/>
  <c r="G252" i="10"/>
  <c r="E240" i="10"/>
  <c r="V240" i="10"/>
  <c r="L240" i="10"/>
  <c r="N240" i="10"/>
  <c r="T240" i="10"/>
  <c r="W240" i="10"/>
  <c r="O240" i="10"/>
  <c r="G240" i="10"/>
  <c r="V205" i="10"/>
  <c r="R205" i="10"/>
  <c r="O205" i="10"/>
  <c r="P205" i="10"/>
  <c r="Q205" i="10"/>
  <c r="E189" i="10"/>
  <c r="I189" i="10"/>
  <c r="G189" i="10"/>
  <c r="H189" i="10"/>
  <c r="J189" i="10"/>
  <c r="Z184" i="10"/>
  <c r="AD184" i="10" s="1"/>
  <c r="AG184" i="10"/>
  <c r="U184" i="10"/>
  <c r="M184" i="10"/>
  <c r="X184" i="10"/>
  <c r="N184" i="10"/>
  <c r="N162" i="10"/>
  <c r="R162" i="10"/>
  <c r="Z162" i="10"/>
  <c r="AG162" i="10"/>
  <c r="U162" i="10"/>
  <c r="M162" i="10"/>
  <c r="J162" i="10"/>
  <c r="M131" i="10"/>
  <c r="R131" i="10"/>
  <c r="N131" i="10"/>
  <c r="O131" i="10"/>
  <c r="J117" i="10"/>
  <c r="G117" i="10"/>
  <c r="W117" i="10"/>
  <c r="Q117" i="10"/>
  <c r="I97" i="10"/>
  <c r="H97" i="10"/>
  <c r="N70" i="10"/>
  <c r="S70" i="10"/>
  <c r="U70" i="10"/>
  <c r="N29" i="10"/>
  <c r="X29" i="10"/>
  <c r="T29" i="10"/>
  <c r="E29" i="10"/>
  <c r="Y29" i="10"/>
  <c r="AA29" i="10" s="1"/>
  <c r="Q29" i="10"/>
  <c r="I29" i="10"/>
  <c r="Z29" i="10"/>
  <c r="AD29" i="10" s="1"/>
  <c r="AE417" i="10"/>
  <c r="AF417" i="10"/>
  <c r="N412" i="10"/>
  <c r="V412" i="10"/>
  <c r="J412" i="10"/>
  <c r="W412" i="10"/>
  <c r="G412" i="10"/>
  <c r="X412" i="10"/>
  <c r="H412" i="10"/>
  <c r="Y412" i="10"/>
  <c r="M412" i="10"/>
  <c r="E410" i="10"/>
  <c r="T410" i="10"/>
  <c r="N410" i="10"/>
  <c r="I410" i="10"/>
  <c r="O410" i="10"/>
  <c r="W408" i="10"/>
  <c r="K408" i="10"/>
  <c r="E402" i="10"/>
  <c r="O402" i="10"/>
  <c r="Z402" i="10"/>
  <c r="G402" i="10"/>
  <c r="Q402" i="10"/>
  <c r="AG402" i="10"/>
  <c r="P402" i="10"/>
  <c r="P395" i="10"/>
  <c r="K395" i="10"/>
  <c r="J395" i="10"/>
  <c r="N395" i="10"/>
  <c r="P384" i="10"/>
  <c r="E384" i="10"/>
  <c r="J383" i="10"/>
  <c r="T383" i="10"/>
  <c r="W383" i="10"/>
  <c r="O383" i="10"/>
  <c r="G383" i="10"/>
  <c r="N383" i="10"/>
  <c r="X383" i="10"/>
  <c r="Z383" i="10"/>
  <c r="AC383" i="10" s="1"/>
  <c r="E382" i="10"/>
  <c r="K382" i="10"/>
  <c r="Q382" i="10"/>
  <c r="V382" i="10"/>
  <c r="G382" i="10"/>
  <c r="N382" i="10"/>
  <c r="U382" i="10"/>
  <c r="T382" i="10"/>
  <c r="J378" i="10"/>
  <c r="N378" i="10"/>
  <c r="X378" i="10"/>
  <c r="E378" i="10"/>
  <c r="G378" i="10"/>
  <c r="P378" i="10"/>
  <c r="L378" i="10"/>
  <c r="Q378" i="10"/>
  <c r="Z378" i="10"/>
  <c r="AD378" i="10" s="1"/>
  <c r="K378" i="10"/>
  <c r="G370" i="10"/>
  <c r="R370" i="10"/>
  <c r="I370" i="10"/>
  <c r="U370" i="10"/>
  <c r="K370" i="10"/>
  <c r="S370" i="10"/>
  <c r="E370" i="10"/>
  <c r="T370" i="10"/>
  <c r="H353" i="10"/>
  <c r="P353" i="10"/>
  <c r="X353" i="10"/>
  <c r="J353" i="10"/>
  <c r="R353" i="10"/>
  <c r="Z353" i="10"/>
  <c r="AD353" i="10" s="1"/>
  <c r="L353" i="10"/>
  <c r="W353" i="10"/>
  <c r="O353" i="10"/>
  <c r="G353" i="10"/>
  <c r="H345" i="10"/>
  <c r="P345" i="10"/>
  <c r="Y345" i="10"/>
  <c r="S345" i="10"/>
  <c r="K345" i="10"/>
  <c r="E345" i="10"/>
  <c r="G293" i="10"/>
  <c r="L293" i="10"/>
  <c r="R293" i="10"/>
  <c r="W293" i="10"/>
  <c r="AG293" i="10"/>
  <c r="H293" i="10"/>
  <c r="N293" i="10"/>
  <c r="S293" i="10"/>
  <c r="X293" i="10"/>
  <c r="E293" i="10"/>
  <c r="P293" i="10"/>
  <c r="J282" i="10"/>
  <c r="T282" i="10"/>
  <c r="L282" i="10"/>
  <c r="V282" i="10"/>
  <c r="H282" i="10"/>
  <c r="I282" i="10"/>
  <c r="Q282" i="10"/>
  <c r="Y282" i="10"/>
  <c r="P277" i="10"/>
  <c r="E275" i="10"/>
  <c r="H275" i="10"/>
  <c r="M275" i="10"/>
  <c r="R275" i="10"/>
  <c r="X275" i="10"/>
  <c r="I275" i="10"/>
  <c r="N275" i="10"/>
  <c r="T275" i="10"/>
  <c r="Y275" i="10"/>
  <c r="L275" i="10"/>
  <c r="V275" i="10"/>
  <c r="Z275" i="10"/>
  <c r="O275" i="10"/>
  <c r="L238" i="10"/>
  <c r="X238" i="10"/>
  <c r="E238" i="10"/>
  <c r="N238" i="10"/>
  <c r="W238" i="10"/>
  <c r="O238" i="10"/>
  <c r="G238" i="10"/>
  <c r="Z238" i="10"/>
  <c r="T224" i="10"/>
  <c r="E224" i="10"/>
  <c r="N224" i="10"/>
  <c r="Y224" i="10"/>
  <c r="S224" i="10"/>
  <c r="K224" i="10"/>
  <c r="J224" i="10"/>
  <c r="G221" i="10"/>
  <c r="L221" i="10"/>
  <c r="R221" i="10"/>
  <c r="W221" i="10"/>
  <c r="AG221" i="10"/>
  <c r="H221" i="10"/>
  <c r="O221" i="10"/>
  <c r="V221" i="10"/>
  <c r="E221" i="10"/>
  <c r="J221" i="10"/>
  <c r="P221" i="10"/>
  <c r="X221" i="10"/>
  <c r="K221" i="10"/>
  <c r="Z221" i="10"/>
  <c r="AC221" i="10" s="1"/>
  <c r="Q221" i="10"/>
  <c r="H206" i="10"/>
  <c r="R206" i="10"/>
  <c r="E206" i="10"/>
  <c r="T206" i="10"/>
  <c r="J206" i="10"/>
  <c r="X206" i="10"/>
  <c r="Z206" i="10"/>
  <c r="AD206" i="10" s="1"/>
  <c r="W206" i="10"/>
  <c r="O206" i="10"/>
  <c r="G206" i="10"/>
  <c r="H183" i="10"/>
  <c r="G183" i="10"/>
  <c r="I183" i="10"/>
  <c r="E169" i="10"/>
  <c r="I169" i="10"/>
  <c r="P169" i="10"/>
  <c r="V169" i="10"/>
  <c r="H169" i="10"/>
  <c r="Q169" i="10"/>
  <c r="AG169" i="10"/>
  <c r="J169" i="10"/>
  <c r="T169" i="10"/>
  <c r="U169" i="10"/>
  <c r="G169" i="10"/>
  <c r="W169" i="10"/>
  <c r="AE159" i="10"/>
  <c r="AF159" i="10"/>
  <c r="AD149" i="10"/>
  <c r="AC149" i="10"/>
  <c r="M147" i="10"/>
  <c r="U147" i="10"/>
  <c r="J147" i="10"/>
  <c r="V147" i="10"/>
  <c r="N147" i="10"/>
  <c r="Y147" i="10"/>
  <c r="AB147" i="10" s="1"/>
  <c r="Q147" i="10"/>
  <c r="AG146" i="10"/>
  <c r="U146" i="10"/>
  <c r="M146" i="10"/>
  <c r="H144" i="10"/>
  <c r="R144" i="10"/>
  <c r="J144" i="10"/>
  <c r="X144" i="10"/>
  <c r="L144" i="10"/>
  <c r="Z144" i="10"/>
  <c r="T144" i="10"/>
  <c r="AG144" i="10"/>
  <c r="W144" i="10"/>
  <c r="O144" i="10"/>
  <c r="G144" i="10"/>
  <c r="E24" i="10"/>
  <c r="J24" i="10"/>
  <c r="R24" i="10"/>
  <c r="AG24" i="10"/>
  <c r="H24" i="10"/>
  <c r="T24" i="10"/>
  <c r="L24" i="10"/>
  <c r="X24" i="10"/>
  <c r="N24" i="10"/>
  <c r="I24" i="10"/>
  <c r="P24" i="10"/>
  <c r="V24" i="10"/>
  <c r="H27" i="3"/>
  <c r="H28" i="3"/>
  <c r="H29" i="3"/>
  <c r="H30" i="3"/>
  <c r="H31" i="3"/>
  <c r="AC319" i="10"/>
  <c r="AE96" i="10"/>
  <c r="AE218" i="10"/>
  <c r="AF193" i="10"/>
  <c r="AE114" i="10"/>
  <c r="AE82" i="10"/>
  <c r="AF27" i="10"/>
  <c r="AA201" i="10"/>
  <c r="AC139" i="10"/>
  <c r="AE131" i="10"/>
  <c r="AE138" i="10"/>
  <c r="AD355" i="10"/>
  <c r="AE13" i="10"/>
  <c r="AB321" i="10"/>
  <c r="AD159" i="10"/>
  <c r="AF54" i="10"/>
  <c r="AF120" i="10"/>
  <c r="AB129" i="10"/>
  <c r="AE327" i="10"/>
  <c r="AF327" i="10"/>
  <c r="AE296" i="10"/>
  <c r="M240" i="10"/>
  <c r="M252" i="10"/>
  <c r="W294" i="10"/>
  <c r="K294" i="10"/>
  <c r="AG312" i="10"/>
  <c r="S312" i="10"/>
  <c r="G312" i="10"/>
  <c r="L312" i="10"/>
  <c r="G341" i="10"/>
  <c r="Q341" i="10"/>
  <c r="AG341" i="10"/>
  <c r="Y270" i="10"/>
  <c r="AB270" i="10" s="1"/>
  <c r="O270" i="10"/>
  <c r="E270" i="10"/>
  <c r="AG286" i="10"/>
  <c r="O286" i="10"/>
  <c r="E286" i="10"/>
  <c r="AE353" i="10"/>
  <c r="H417" i="10"/>
  <c r="P417" i="10"/>
  <c r="X417" i="10"/>
  <c r="R417" i="10"/>
  <c r="Y417" i="10"/>
  <c r="AB417" i="10" s="1"/>
  <c r="U417" i="10"/>
  <c r="M417" i="10"/>
  <c r="K416" i="10"/>
  <c r="Z416" i="10"/>
  <c r="AD416" i="10" s="1"/>
  <c r="T416" i="10"/>
  <c r="M416" i="10"/>
  <c r="J416" i="10"/>
  <c r="V410" i="10"/>
  <c r="U408" i="10"/>
  <c r="J408" i="10"/>
  <c r="H407" i="10"/>
  <c r="J407" i="10"/>
  <c r="I407" i="10"/>
  <c r="K402" i="10"/>
  <c r="H399" i="10"/>
  <c r="Z399" i="10"/>
  <c r="N399" i="10"/>
  <c r="O399" i="10"/>
  <c r="T395" i="10"/>
  <c r="E391" i="10"/>
  <c r="L391" i="10"/>
  <c r="T391" i="10"/>
  <c r="H391" i="10"/>
  <c r="R391" i="10"/>
  <c r="Y391" i="10"/>
  <c r="AA391" i="10" s="1"/>
  <c r="U391" i="10"/>
  <c r="M391" i="10"/>
  <c r="J387" i="10"/>
  <c r="W387" i="10"/>
  <c r="O387" i="10"/>
  <c r="G387" i="10"/>
  <c r="V387" i="10"/>
  <c r="Z387" i="10"/>
  <c r="AC387" i="10" s="1"/>
  <c r="AG384" i="10"/>
  <c r="J384" i="10"/>
  <c r="W382" i="10"/>
  <c r="M382" i="10"/>
  <c r="V378" i="10"/>
  <c r="V376" i="10"/>
  <c r="M368" i="10"/>
  <c r="T368" i="10"/>
  <c r="W368" i="10"/>
  <c r="H368" i="10"/>
  <c r="Z368" i="10"/>
  <c r="AC368" i="10" s="1"/>
  <c r="X368" i="10"/>
  <c r="L368" i="10"/>
  <c r="E366" i="10"/>
  <c r="V366" i="10"/>
  <c r="R366" i="10"/>
  <c r="H366" i="10"/>
  <c r="Q366" i="10"/>
  <c r="T353" i="10"/>
  <c r="E337" i="10"/>
  <c r="T337" i="10"/>
  <c r="H337" i="10"/>
  <c r="V337" i="10"/>
  <c r="L337" i="10"/>
  <c r="Y337" i="10"/>
  <c r="AB337" i="10" s="1"/>
  <c r="S337" i="10"/>
  <c r="K337" i="10"/>
  <c r="J337" i="10"/>
  <c r="J329" i="10"/>
  <c r="Y329" i="10"/>
  <c r="AA329" i="10" s="1"/>
  <c r="AG329" i="10"/>
  <c r="S329" i="10"/>
  <c r="M329" i="10"/>
  <c r="I309" i="10"/>
  <c r="Y309" i="10"/>
  <c r="AB309" i="10" s="1"/>
  <c r="N309" i="10"/>
  <c r="V309" i="10"/>
  <c r="T300" i="10"/>
  <c r="V300" i="10"/>
  <c r="K300" i="10"/>
  <c r="S300" i="10"/>
  <c r="AG300" i="10"/>
  <c r="J300" i="10"/>
  <c r="P296" i="10"/>
  <c r="K296" i="10"/>
  <c r="S296" i="10"/>
  <c r="Z296" i="10"/>
  <c r="O293" i="10"/>
  <c r="Z282" i="10"/>
  <c r="AC282" i="10" s="1"/>
  <c r="J277" i="10"/>
  <c r="P275" i="10"/>
  <c r="H274" i="10"/>
  <c r="I274" i="10"/>
  <c r="P270" i="10"/>
  <c r="J263" i="10"/>
  <c r="N263" i="10"/>
  <c r="R263" i="10"/>
  <c r="T263" i="10"/>
  <c r="E263" i="10"/>
  <c r="I263" i="10"/>
  <c r="O263" i="10"/>
  <c r="H256" i="10"/>
  <c r="E256" i="10"/>
  <c r="V252" i="10"/>
  <c r="H251" i="10"/>
  <c r="E251" i="10"/>
  <c r="I251" i="10"/>
  <c r="J251" i="10"/>
  <c r="U244" i="10"/>
  <c r="Z244" i="10"/>
  <c r="AD244" i="10" s="1"/>
  <c r="T221" i="10"/>
  <c r="Q215" i="10"/>
  <c r="L215" i="10"/>
  <c r="V215" i="10"/>
  <c r="E215" i="10"/>
  <c r="U215" i="10"/>
  <c r="S215" i="10"/>
  <c r="H215" i="10"/>
  <c r="J209" i="10"/>
  <c r="R209" i="10"/>
  <c r="AG209" i="10"/>
  <c r="M209" i="10"/>
  <c r="V209" i="10"/>
  <c r="N209" i="10"/>
  <c r="Y209" i="10"/>
  <c r="AB209" i="10" s="1"/>
  <c r="U209" i="10"/>
  <c r="J198" i="10"/>
  <c r="Z198" i="10"/>
  <c r="AD198" i="10" s="1"/>
  <c r="L198" i="10"/>
  <c r="P198" i="10"/>
  <c r="W198" i="10"/>
  <c r="O198" i="10"/>
  <c r="G198" i="10"/>
  <c r="T198" i="10"/>
  <c r="E181" i="10"/>
  <c r="AG181" i="10"/>
  <c r="P181" i="10"/>
  <c r="V181" i="10"/>
  <c r="K181" i="10"/>
  <c r="O181" i="10"/>
  <c r="Q181" i="10"/>
  <c r="G181" i="10"/>
  <c r="H181" i="10"/>
  <c r="L178" i="10"/>
  <c r="W178" i="10"/>
  <c r="O178" i="10"/>
  <c r="G178" i="10"/>
  <c r="R178" i="10"/>
  <c r="K171" i="10"/>
  <c r="S171" i="10"/>
  <c r="G171" i="10"/>
  <c r="V171" i="10"/>
  <c r="L171" i="10"/>
  <c r="X171" i="10"/>
  <c r="R171" i="10"/>
  <c r="I171" i="10"/>
  <c r="Y171" i="10"/>
  <c r="Y169" i="10"/>
  <c r="AG166" i="10"/>
  <c r="S166" i="10"/>
  <c r="K166" i="10"/>
  <c r="X166" i="10"/>
  <c r="N166" i="10"/>
  <c r="J160" i="10"/>
  <c r="T160" i="10"/>
  <c r="E160" i="10"/>
  <c r="R160" i="10"/>
  <c r="H160" i="10"/>
  <c r="X160" i="10"/>
  <c r="P160" i="10"/>
  <c r="AG160" i="10"/>
  <c r="S160" i="10"/>
  <c r="K160" i="10"/>
  <c r="K155" i="10"/>
  <c r="N155" i="10"/>
  <c r="Q155" i="10"/>
  <c r="E155" i="10"/>
  <c r="T155" i="10"/>
  <c r="O155" i="10"/>
  <c r="R155" i="10"/>
  <c r="P154" i="10"/>
  <c r="N154" i="10"/>
  <c r="Y154" i="10"/>
  <c r="Q154" i="10"/>
  <c r="I154" i="10"/>
  <c r="R154" i="10"/>
  <c r="AG150" i="10"/>
  <c r="U150" i="10"/>
  <c r="V150" i="10"/>
  <c r="H142" i="10"/>
  <c r="P142" i="10"/>
  <c r="E142" i="10"/>
  <c r="X142" i="10"/>
  <c r="L142" i="10"/>
  <c r="N142" i="10"/>
  <c r="U142" i="10"/>
  <c r="M142" i="10"/>
  <c r="R142" i="10"/>
  <c r="I141" i="10"/>
  <c r="N141" i="10"/>
  <c r="T141" i="10"/>
  <c r="Y141" i="10"/>
  <c r="AB141" i="10" s="1"/>
  <c r="AG141" i="10"/>
  <c r="H141" i="10"/>
  <c r="P141" i="10"/>
  <c r="V141" i="10"/>
  <c r="E141" i="10"/>
  <c r="J141" i="10"/>
  <c r="Q141" i="10"/>
  <c r="X141" i="10"/>
  <c r="M141" i="10"/>
  <c r="Z141" i="10"/>
  <c r="AC141" i="10" s="1"/>
  <c r="M135" i="10"/>
  <c r="N135" i="10"/>
  <c r="V135" i="10"/>
  <c r="P129" i="10"/>
  <c r="X129" i="10"/>
  <c r="E129" i="10"/>
  <c r="N129" i="10"/>
  <c r="Z129" i="10"/>
  <c r="AD129" i="10" s="1"/>
  <c r="J129" i="10"/>
  <c r="Q129" i="10"/>
  <c r="W129" i="10"/>
  <c r="T122" i="10"/>
  <c r="W122" i="10"/>
  <c r="O122" i="10"/>
  <c r="G122" i="10"/>
  <c r="R122" i="10"/>
  <c r="V122" i="10"/>
  <c r="H122" i="10"/>
  <c r="V68" i="10"/>
  <c r="O68" i="10"/>
  <c r="W68" i="10"/>
  <c r="K68" i="10"/>
  <c r="AG68" i="10"/>
  <c r="L68" i="10"/>
  <c r="R11" i="10"/>
  <c r="T11" i="10"/>
  <c r="Z11" i="10"/>
  <c r="AC11" i="10" s="1"/>
  <c r="J11" i="10"/>
  <c r="AG11" i="10"/>
  <c r="S11" i="10"/>
  <c r="K11" i="10"/>
  <c r="H11" i="10"/>
  <c r="E9" i="10"/>
  <c r="T9" i="10"/>
  <c r="N9" i="10"/>
  <c r="V9" i="10"/>
  <c r="Y9" i="10"/>
  <c r="AB9" i="10" s="1"/>
  <c r="Q9" i="10"/>
  <c r="I9" i="10"/>
  <c r="V8" i="10"/>
  <c r="N8" i="10"/>
  <c r="Y8" i="10"/>
  <c r="AB8" i="10" s="1"/>
  <c r="R8" i="10"/>
  <c r="K8" i="10"/>
  <c r="Z8" i="10"/>
  <c r="P8" i="10"/>
  <c r="AD332" i="10"/>
  <c r="AC240" i="10"/>
  <c r="AB413" i="10"/>
  <c r="AB68" i="10"/>
  <c r="AB159" i="10"/>
  <c r="AC395" i="10"/>
  <c r="AA366" i="10"/>
  <c r="AF102" i="10"/>
  <c r="AD363" i="10"/>
  <c r="AA139" i="10"/>
  <c r="AF127" i="10"/>
  <c r="AE244" i="10"/>
  <c r="AE146" i="10"/>
  <c r="AF246" i="10"/>
  <c r="AE126" i="10"/>
  <c r="AC100" i="10"/>
  <c r="AC158" i="10"/>
  <c r="M261" i="10"/>
  <c r="L270" i="10"/>
  <c r="K281" i="10"/>
  <c r="H341" i="10"/>
  <c r="U376" i="10"/>
  <c r="Z384" i="10"/>
  <c r="L376" i="10"/>
  <c r="AE336" i="10"/>
  <c r="E341" i="10"/>
  <c r="W376" i="10"/>
  <c r="Y384" i="10"/>
  <c r="AB384" i="10" s="1"/>
  <c r="L408" i="10"/>
  <c r="H418" i="10"/>
  <c r="AA377" i="10"/>
  <c r="AB184" i="10"/>
  <c r="AF99" i="10"/>
  <c r="AF77" i="10"/>
  <c r="O29" i="10"/>
  <c r="AG29" i="10"/>
  <c r="AB47" i="10"/>
  <c r="AB99" i="10"/>
  <c r="K162" i="10"/>
  <c r="W162" i="10"/>
  <c r="O184" i="10"/>
  <c r="AB220" i="10"/>
  <c r="AA232" i="10"/>
  <c r="Q240" i="10"/>
  <c r="Y240" i="10"/>
  <c r="Q252" i="10"/>
  <c r="Y252" i="10"/>
  <c r="S294" i="10"/>
  <c r="I294" i="10"/>
  <c r="O312" i="10"/>
  <c r="E312" i="10"/>
  <c r="L294" i="10"/>
  <c r="P312" i="10"/>
  <c r="M337" i="10"/>
  <c r="W337" i="10"/>
  <c r="I341" i="10"/>
  <c r="U341" i="10"/>
  <c r="G345" i="10"/>
  <c r="Q345" i="10"/>
  <c r="AG345" i="10"/>
  <c r="K353" i="10"/>
  <c r="U353" i="10"/>
  <c r="M383" i="10"/>
  <c r="K387" i="10"/>
  <c r="U387" i="10"/>
  <c r="G391" i="10"/>
  <c r="Q391" i="10"/>
  <c r="Q395" i="10"/>
  <c r="AG395" i="10"/>
  <c r="G399" i="10"/>
  <c r="AG399" i="10"/>
  <c r="G409" i="10"/>
  <c r="I417" i="10"/>
  <c r="S417" i="10"/>
  <c r="AG417" i="10"/>
  <c r="W270" i="10"/>
  <c r="M270" i="10"/>
  <c r="G274" i="10"/>
  <c r="U282" i="10"/>
  <c r="K282" i="10"/>
  <c r="W286" i="10"/>
  <c r="M286" i="10"/>
  <c r="AG296" i="10"/>
  <c r="Q296" i="10"/>
  <c r="G296" i="10"/>
  <c r="U300" i="10"/>
  <c r="I300" i="10"/>
  <c r="AF377" i="10"/>
  <c r="O418" i="10"/>
  <c r="Z417" i="10"/>
  <c r="AC417" i="10" s="1"/>
  <c r="L417" i="10"/>
  <c r="R412" i="10"/>
  <c r="L410" i="10"/>
  <c r="R408" i="10"/>
  <c r="I408" i="10"/>
  <c r="J404" i="10"/>
  <c r="R404" i="10"/>
  <c r="Z404" i="10"/>
  <c r="E404" i="10"/>
  <c r="O404" i="10"/>
  <c r="J402" i="10"/>
  <c r="V399" i="10"/>
  <c r="E395" i="10"/>
  <c r="Z391" i="10"/>
  <c r="AD391" i="10" s="1"/>
  <c r="N391" i="10"/>
  <c r="P389" i="10"/>
  <c r="W389" i="10"/>
  <c r="T389" i="10"/>
  <c r="R389" i="10"/>
  <c r="Y389" i="10"/>
  <c r="J389" i="10"/>
  <c r="T384" i="10"/>
  <c r="H384" i="10"/>
  <c r="S382" i="10"/>
  <c r="J382" i="10"/>
  <c r="L379" i="10"/>
  <c r="H379" i="10"/>
  <c r="O379" i="10"/>
  <c r="R379" i="10"/>
  <c r="T379" i="10"/>
  <c r="T378" i="10"/>
  <c r="I376" i="10"/>
  <c r="G375" i="10"/>
  <c r="T375" i="10"/>
  <c r="R375" i="10"/>
  <c r="Y375" i="10"/>
  <c r="AA375" i="10" s="1"/>
  <c r="Q375" i="10"/>
  <c r="Z375" i="10"/>
  <c r="AD375" i="10" s="1"/>
  <c r="AF374" i="10"/>
  <c r="AE374" i="10"/>
  <c r="Z370" i="10"/>
  <c r="AC370" i="10" s="1"/>
  <c r="AE357" i="10"/>
  <c r="AF357" i="10"/>
  <c r="N353" i="10"/>
  <c r="H350" i="10"/>
  <c r="T350" i="10"/>
  <c r="K350" i="10"/>
  <c r="Z350" i="10"/>
  <c r="AC350" i="10" s="1"/>
  <c r="L350" i="10"/>
  <c r="S350" i="10"/>
  <c r="U350" i="10"/>
  <c r="AC345" i="10"/>
  <c r="L341" i="10"/>
  <c r="Z335" i="10"/>
  <c r="AC335" i="10" s="1"/>
  <c r="Y335" i="10"/>
  <c r="U335" i="10"/>
  <c r="M335" i="10"/>
  <c r="H335" i="10"/>
  <c r="X335" i="10"/>
  <c r="V335" i="10"/>
  <c r="N326" i="10"/>
  <c r="V326" i="10"/>
  <c r="T326" i="10"/>
  <c r="E326" i="10"/>
  <c r="M326" i="10"/>
  <c r="U326" i="10"/>
  <c r="H326" i="10"/>
  <c r="AG319" i="10"/>
  <c r="P317" i="10"/>
  <c r="T317" i="10"/>
  <c r="Z317" i="10"/>
  <c r="AD317" i="10" s="1"/>
  <c r="O317" i="10"/>
  <c r="N312" i="10"/>
  <c r="W297" i="10"/>
  <c r="E297" i="10"/>
  <c r="AG297" i="10"/>
  <c r="Y297" i="10"/>
  <c r="G297" i="10"/>
  <c r="X297" i="10"/>
  <c r="V294" i="10"/>
  <c r="Z293" i="10"/>
  <c r="AC293" i="10" s="1"/>
  <c r="K293" i="10"/>
  <c r="J283" i="10"/>
  <c r="I283" i="10"/>
  <c r="R282" i="10"/>
  <c r="U277" i="10"/>
  <c r="I277" i="10"/>
  <c r="J275" i="10"/>
  <c r="J273" i="10"/>
  <c r="N273" i="10"/>
  <c r="V273" i="10"/>
  <c r="T273" i="10"/>
  <c r="E273" i="10"/>
  <c r="M273" i="10"/>
  <c r="AG273" i="10"/>
  <c r="O273" i="10"/>
  <c r="G271" i="10"/>
  <c r="O271" i="10"/>
  <c r="W271" i="10"/>
  <c r="J271" i="10"/>
  <c r="R271" i="10"/>
  <c r="Z271" i="10"/>
  <c r="AC271" i="10" s="1"/>
  <c r="E271" i="10"/>
  <c r="V271" i="10"/>
  <c r="M271" i="10"/>
  <c r="X271" i="10"/>
  <c r="H271" i="10"/>
  <c r="J270" i="10"/>
  <c r="W261" i="10"/>
  <c r="AF255" i="10"/>
  <c r="AE255" i="10"/>
  <c r="J253" i="10"/>
  <c r="N253" i="10"/>
  <c r="R253" i="10"/>
  <c r="AG253" i="10"/>
  <c r="L253" i="10"/>
  <c r="M253" i="10"/>
  <c r="W253" i="10"/>
  <c r="T252" i="10"/>
  <c r="E226" i="10"/>
  <c r="V226" i="10"/>
  <c r="J226" i="10"/>
  <c r="L226" i="10"/>
  <c r="N226" i="10"/>
  <c r="AG226" i="10"/>
  <c r="S226" i="10"/>
  <c r="K226" i="10"/>
  <c r="R226" i="10"/>
  <c r="P226" i="10"/>
  <c r="S221" i="10"/>
  <c r="P206" i="10"/>
  <c r="M197" i="10"/>
  <c r="Z197" i="10"/>
  <c r="G197" i="10"/>
  <c r="W197" i="10"/>
  <c r="K197" i="10"/>
  <c r="H197" i="10"/>
  <c r="X197" i="10"/>
  <c r="U190" i="10"/>
  <c r="E190" i="10"/>
  <c r="H190" i="10"/>
  <c r="S190" i="10"/>
  <c r="AG190" i="10"/>
  <c r="G190" i="10"/>
  <c r="Z188" i="10"/>
  <c r="AD188" i="10" s="1"/>
  <c r="L188" i="10"/>
  <c r="W188" i="10"/>
  <c r="O188" i="10"/>
  <c r="G188" i="10"/>
  <c r="N188" i="10"/>
  <c r="J179" i="10"/>
  <c r="R179" i="10"/>
  <c r="I179" i="10"/>
  <c r="Q179" i="10"/>
  <c r="G179" i="10"/>
  <c r="V179" i="10"/>
  <c r="W179" i="10"/>
  <c r="S179" i="10"/>
  <c r="P179" i="10"/>
  <c r="Z171" i="10"/>
  <c r="AD171" i="10" s="1"/>
  <c r="N169" i="10"/>
  <c r="G167" i="10"/>
  <c r="I167" i="10"/>
  <c r="E167" i="10"/>
  <c r="J167" i="10"/>
  <c r="L162" i="10"/>
  <c r="R147" i="10"/>
  <c r="P144" i="10"/>
  <c r="R141" i="10"/>
  <c r="G133" i="10"/>
  <c r="N133" i="10"/>
  <c r="U133" i="10"/>
  <c r="I133" i="10"/>
  <c r="Q133" i="10"/>
  <c r="Z133" i="10"/>
  <c r="J133" i="10"/>
  <c r="S133" i="10"/>
  <c r="K133" i="10"/>
  <c r="H133" i="10"/>
  <c r="X133" i="10"/>
  <c r="AD130" i="10"/>
  <c r="AC130" i="10"/>
  <c r="H63" i="10"/>
  <c r="T63" i="10"/>
  <c r="E63" i="10"/>
  <c r="V63" i="10"/>
  <c r="L63" i="10"/>
  <c r="X63" i="10"/>
  <c r="N63" i="10"/>
  <c r="P63" i="10"/>
  <c r="Y63" i="10"/>
  <c r="Q63" i="10"/>
  <c r="I63" i="10"/>
  <c r="W17" i="10"/>
  <c r="O17" i="10"/>
  <c r="G17" i="10"/>
  <c r="E17" i="10"/>
  <c r="V17" i="10"/>
  <c r="E4" i="10"/>
  <c r="I4" i="10"/>
  <c r="L4" i="10"/>
  <c r="T4" i="10"/>
  <c r="J4" i="10"/>
  <c r="R4" i="10"/>
  <c r="AG4" i="10"/>
  <c r="H4" i="10"/>
  <c r="P4" i="10"/>
  <c r="G4" i="10"/>
  <c r="V4" i="10"/>
  <c r="K4" i="10"/>
  <c r="O4" i="10"/>
  <c r="U4" i="10"/>
  <c r="J413" i="10"/>
  <c r="L413" i="10"/>
  <c r="V413" i="10"/>
  <c r="I390" i="10"/>
  <c r="V390" i="10"/>
  <c r="G388" i="10"/>
  <c r="K388" i="10"/>
  <c r="O388" i="10"/>
  <c r="S388" i="10"/>
  <c r="W388" i="10"/>
  <c r="Z388" i="10"/>
  <c r="AG388" i="10"/>
  <c r="N377" i="10"/>
  <c r="V377" i="10"/>
  <c r="H377" i="10"/>
  <c r="P377" i="10"/>
  <c r="X377" i="10"/>
  <c r="H365" i="10"/>
  <c r="Z365" i="10"/>
  <c r="L365" i="10"/>
  <c r="E359" i="10"/>
  <c r="P359" i="10"/>
  <c r="Z359" i="10"/>
  <c r="H359" i="10"/>
  <c r="R359" i="10"/>
  <c r="J349" i="10"/>
  <c r="N349" i="10"/>
  <c r="X349" i="10"/>
  <c r="E349" i="10"/>
  <c r="P349" i="10"/>
  <c r="L333" i="10"/>
  <c r="N333" i="10"/>
  <c r="V314" i="10"/>
  <c r="X314" i="10"/>
  <c r="H306" i="10"/>
  <c r="R306" i="10"/>
  <c r="I303" i="10"/>
  <c r="L303" i="10"/>
  <c r="R303" i="10"/>
  <c r="Y303" i="10"/>
  <c r="G303" i="10"/>
  <c r="M303" i="10"/>
  <c r="U303" i="10"/>
  <c r="R298" i="10"/>
  <c r="N298" i="10"/>
  <c r="J295" i="10"/>
  <c r="R295" i="10"/>
  <c r="J264" i="10"/>
  <c r="N264" i="10"/>
  <c r="H262" i="10"/>
  <c r="N262" i="10"/>
  <c r="E247" i="10"/>
  <c r="Y247" i="10"/>
  <c r="AB247" i="10" s="1"/>
  <c r="J235" i="10"/>
  <c r="Z235" i="10"/>
  <c r="AD235" i="10" s="1"/>
  <c r="K235" i="10"/>
  <c r="Q235" i="10"/>
  <c r="Z229" i="10"/>
  <c r="AC229" i="10" s="1"/>
  <c r="R229" i="10"/>
  <c r="E199" i="10"/>
  <c r="H199" i="10"/>
  <c r="P199" i="10"/>
  <c r="Z199" i="10"/>
  <c r="AD199" i="10" s="1"/>
  <c r="G199" i="10"/>
  <c r="S199" i="10"/>
  <c r="J199" i="10"/>
  <c r="V199" i="10"/>
  <c r="AG199" i="10"/>
  <c r="Q191" i="10"/>
  <c r="L191" i="10"/>
  <c r="V191" i="10"/>
  <c r="R170" i="10"/>
  <c r="J170" i="10"/>
  <c r="L170" i="10"/>
  <c r="I153" i="10"/>
  <c r="N153" i="10"/>
  <c r="T153" i="10"/>
  <c r="Y153" i="10"/>
  <c r="AA153" i="10" s="1"/>
  <c r="H153" i="10"/>
  <c r="P153" i="10"/>
  <c r="V153" i="10"/>
  <c r="E153" i="10"/>
  <c r="J153" i="10"/>
  <c r="Q153" i="10"/>
  <c r="X153" i="10"/>
  <c r="J130" i="10"/>
  <c r="T130" i="10"/>
  <c r="N130" i="10"/>
  <c r="L130" i="10"/>
  <c r="R130" i="10"/>
  <c r="E118" i="10"/>
  <c r="T118" i="10"/>
  <c r="N118" i="10"/>
  <c r="L118" i="10"/>
  <c r="V118" i="10"/>
  <c r="I114" i="10"/>
  <c r="N114" i="10"/>
  <c r="S114" i="10"/>
  <c r="Y114" i="10"/>
  <c r="AB114" i="10" s="1"/>
  <c r="AG114" i="10"/>
  <c r="J114" i="10"/>
  <c r="Q114" i="10"/>
  <c r="W114" i="10"/>
  <c r="K114" i="10"/>
  <c r="R114" i="10"/>
  <c r="M114" i="10"/>
  <c r="Z114" i="10"/>
  <c r="AD114" i="10" s="1"/>
  <c r="O114" i="10"/>
  <c r="I106" i="10"/>
  <c r="N106" i="10"/>
  <c r="S106" i="10"/>
  <c r="Y106" i="10"/>
  <c r="G106" i="10"/>
  <c r="O106" i="10"/>
  <c r="V106" i="10"/>
  <c r="J106" i="10"/>
  <c r="Q106" i="10"/>
  <c r="W106" i="10"/>
  <c r="K106" i="10"/>
  <c r="Z106" i="10"/>
  <c r="AC106" i="10" s="1"/>
  <c r="M106" i="10"/>
  <c r="N89" i="10"/>
  <c r="R89" i="10"/>
  <c r="Z89" i="10"/>
  <c r="AD89" i="10" s="1"/>
  <c r="E52" i="10"/>
  <c r="W52" i="10"/>
  <c r="L52" i="10"/>
  <c r="H52" i="10"/>
  <c r="P52" i="10"/>
  <c r="X52" i="10"/>
  <c r="Z52" i="10"/>
  <c r="V30" i="10"/>
  <c r="N30" i="10"/>
  <c r="E30" i="10"/>
  <c r="G18" i="10"/>
  <c r="M18" i="10"/>
  <c r="R18" i="10"/>
  <c r="W18" i="10"/>
  <c r="E18" i="10"/>
  <c r="N18" i="10"/>
  <c r="U18" i="10"/>
  <c r="Z18" i="10"/>
  <c r="J18" i="10"/>
  <c r="S18" i="10"/>
  <c r="K18" i="10"/>
  <c r="V18" i="10"/>
  <c r="AG18" i="10"/>
  <c r="O18" i="10"/>
  <c r="Q18" i="10"/>
  <c r="E241" i="10"/>
  <c r="P241" i="10"/>
  <c r="Z241" i="10"/>
  <c r="J239" i="10"/>
  <c r="AG239" i="10"/>
  <c r="H220" i="10"/>
  <c r="X220" i="10"/>
  <c r="Q211" i="10"/>
  <c r="Z211" i="10"/>
  <c r="J207" i="10"/>
  <c r="R207" i="10"/>
  <c r="Z207" i="10"/>
  <c r="AD207" i="10" s="1"/>
  <c r="E203" i="10"/>
  <c r="L203" i="10"/>
  <c r="Q203" i="10"/>
  <c r="V203" i="10"/>
  <c r="G185" i="10"/>
  <c r="L185" i="10"/>
  <c r="Q185" i="10"/>
  <c r="V185" i="10"/>
  <c r="AG185" i="10"/>
  <c r="J145" i="10"/>
  <c r="P145" i="10"/>
  <c r="W145" i="10"/>
  <c r="J143" i="10"/>
  <c r="Q143" i="10"/>
  <c r="J127" i="10"/>
  <c r="R127" i="10"/>
  <c r="K127" i="10"/>
  <c r="W127" i="10"/>
  <c r="N123" i="10"/>
  <c r="E123" i="10"/>
  <c r="N121" i="10"/>
  <c r="V121" i="10"/>
  <c r="J119" i="10"/>
  <c r="Q119" i="10"/>
  <c r="Y119" i="10"/>
  <c r="K119" i="10"/>
  <c r="U119" i="10"/>
  <c r="Z119" i="10"/>
  <c r="N110" i="10"/>
  <c r="J110" i="10"/>
  <c r="R110" i="10"/>
  <c r="N102" i="10"/>
  <c r="R102" i="10"/>
  <c r="V102" i="10"/>
  <c r="N93" i="10"/>
  <c r="H93" i="10"/>
  <c r="Z93" i="10"/>
  <c r="AD93" i="10" s="1"/>
  <c r="J93" i="10"/>
  <c r="J82" i="10"/>
  <c r="O82" i="10"/>
  <c r="U82" i="10"/>
  <c r="Z82" i="10"/>
  <c r="AD82" i="10" s="1"/>
  <c r="I82" i="10"/>
  <c r="Q82" i="10"/>
  <c r="W82" i="10"/>
  <c r="K82" i="10"/>
  <c r="R82" i="10"/>
  <c r="Y82" i="10"/>
  <c r="J71" i="10"/>
  <c r="E71" i="10"/>
  <c r="N43" i="10"/>
  <c r="E43" i="10"/>
  <c r="H43" i="10"/>
  <c r="P43" i="10"/>
  <c r="T25" i="10"/>
  <c r="X25" i="10"/>
  <c r="N13" i="10"/>
  <c r="J13" i="10"/>
  <c r="T13" i="10"/>
  <c r="X13" i="10"/>
  <c r="AG374" i="10"/>
  <c r="Y374" i="10"/>
  <c r="AB374" i="10" s="1"/>
  <c r="U374" i="10"/>
  <c r="Q374" i="10"/>
  <c r="M374" i="10"/>
  <c r="W364" i="10"/>
  <c r="Q364" i="10"/>
  <c r="Y362" i="10"/>
  <c r="AB362" i="10" s="1"/>
  <c r="W360" i="10"/>
  <c r="P360" i="10"/>
  <c r="J360" i="10"/>
  <c r="Y358" i="10"/>
  <c r="AA358" i="10" s="1"/>
  <c r="AG336" i="10"/>
  <c r="X336" i="10"/>
  <c r="T336" i="10"/>
  <c r="N336" i="10"/>
  <c r="V320" i="10"/>
  <c r="T308" i="10"/>
  <c r="R255" i="10"/>
  <c r="T248" i="10"/>
  <c r="S245" i="10"/>
  <c r="E243" i="10"/>
  <c r="H243" i="10"/>
  <c r="M243" i="10"/>
  <c r="R243" i="10"/>
  <c r="L241" i="10"/>
  <c r="V239" i="10"/>
  <c r="J237" i="10"/>
  <c r="AG237" i="10"/>
  <c r="L232" i="10"/>
  <c r="V232" i="10"/>
  <c r="E223" i="10"/>
  <c r="H223" i="10"/>
  <c r="M223" i="10"/>
  <c r="R223" i="10"/>
  <c r="X223" i="10"/>
  <c r="P220" i="10"/>
  <c r="J213" i="10"/>
  <c r="E213" i="10"/>
  <c r="S211" i="10"/>
  <c r="W207" i="10"/>
  <c r="N207" i="10"/>
  <c r="Y203" i="10"/>
  <c r="R203" i="10"/>
  <c r="J203" i="10"/>
  <c r="Z193" i="10"/>
  <c r="Y185" i="10"/>
  <c r="AB185" i="10" s="1"/>
  <c r="R185" i="10"/>
  <c r="J185" i="10"/>
  <c r="G177" i="10"/>
  <c r="O177" i="10"/>
  <c r="W177" i="10"/>
  <c r="G175" i="10"/>
  <c r="N175" i="10"/>
  <c r="T175" i="10"/>
  <c r="I165" i="10"/>
  <c r="Y165" i="10"/>
  <c r="AA165" i="10" s="1"/>
  <c r="T145" i="10"/>
  <c r="K145" i="10"/>
  <c r="E145" i="10"/>
  <c r="N143" i="10"/>
  <c r="O127" i="10"/>
  <c r="H126" i="10"/>
  <c r="L126" i="10"/>
  <c r="L120" i="10"/>
  <c r="H120" i="10"/>
  <c r="N119" i="10"/>
  <c r="J101" i="10"/>
  <c r="N101" i="10"/>
  <c r="R101" i="10"/>
  <c r="R96" i="10"/>
  <c r="M96" i="10"/>
  <c r="N82" i="10"/>
  <c r="R76" i="10"/>
  <c r="J76" i="10"/>
  <c r="V76" i="10"/>
  <c r="N53" i="10"/>
  <c r="J53" i="10"/>
  <c r="R53" i="10"/>
  <c r="T53" i="10"/>
  <c r="T51" i="10"/>
  <c r="R51" i="10"/>
  <c r="H37" i="10"/>
  <c r="R37" i="10"/>
  <c r="X37" i="10"/>
  <c r="E36" i="10"/>
  <c r="K36" i="10"/>
  <c r="Q36" i="10"/>
  <c r="V36" i="10"/>
  <c r="G36" i="10"/>
  <c r="N36" i="10"/>
  <c r="U36" i="10"/>
  <c r="J36" i="10"/>
  <c r="S36" i="10"/>
  <c r="M36" i="10"/>
  <c r="W36" i="10"/>
  <c r="H7" i="10"/>
  <c r="T7" i="10"/>
  <c r="J7" i="10"/>
  <c r="P7" i="10"/>
  <c r="L7" i="10"/>
  <c r="N7" i="10"/>
  <c r="H6" i="10"/>
  <c r="N6" i="10"/>
  <c r="S6" i="10"/>
  <c r="X6" i="10"/>
  <c r="I6" i="10"/>
  <c r="L6" i="10"/>
  <c r="T6" i="10"/>
  <c r="AG6" i="10"/>
  <c r="E6" i="10"/>
  <c r="J6" i="10"/>
  <c r="R6" i="10"/>
  <c r="K6" i="10"/>
  <c r="V6" i="10"/>
  <c r="H116" i="10"/>
  <c r="N116" i="10"/>
  <c r="Z116" i="10"/>
  <c r="H105" i="10"/>
  <c r="T105" i="10"/>
  <c r="E98" i="10"/>
  <c r="H98" i="10"/>
  <c r="L98" i="10"/>
  <c r="P98" i="10"/>
  <c r="T98" i="10"/>
  <c r="X98" i="10"/>
  <c r="L78" i="10"/>
  <c r="V78" i="10"/>
  <c r="E65" i="10"/>
  <c r="R65" i="10"/>
  <c r="N57" i="10"/>
  <c r="L57" i="10"/>
  <c r="H55" i="10"/>
  <c r="X55" i="10"/>
  <c r="P55" i="10"/>
  <c r="K46" i="10"/>
  <c r="R46" i="10"/>
  <c r="X46" i="10"/>
  <c r="G46" i="10"/>
  <c r="P46" i="10"/>
  <c r="AG46" i="10"/>
  <c r="Q44" i="10"/>
  <c r="L44" i="10"/>
  <c r="J42" i="10"/>
  <c r="Q42" i="10"/>
  <c r="Y42" i="10"/>
  <c r="I42" i="10"/>
  <c r="T42" i="10"/>
  <c r="L20" i="10"/>
  <c r="U20" i="10"/>
  <c r="M20" i="10"/>
  <c r="J128" i="10"/>
  <c r="T128" i="10"/>
  <c r="L116" i="10"/>
  <c r="N105" i="10"/>
  <c r="G104" i="10"/>
  <c r="M104" i="10"/>
  <c r="R104" i="10"/>
  <c r="W104" i="10"/>
  <c r="Z98" i="10"/>
  <c r="U98" i="10"/>
  <c r="O98" i="10"/>
  <c r="J98" i="10"/>
  <c r="I90" i="10"/>
  <c r="Q90" i="10"/>
  <c r="W90" i="10"/>
  <c r="N78" i="10"/>
  <c r="G74" i="10"/>
  <c r="N74" i="10"/>
  <c r="V74" i="10"/>
  <c r="Z74" i="10"/>
  <c r="E66" i="10"/>
  <c r="I66" i="10"/>
  <c r="M66" i="10"/>
  <c r="Q66" i="10"/>
  <c r="U66" i="10"/>
  <c r="Y66" i="10"/>
  <c r="AB66" i="10" s="1"/>
  <c r="Z65" i="10"/>
  <c r="AD65" i="10" s="1"/>
  <c r="L65" i="10"/>
  <c r="K62" i="10"/>
  <c r="T62" i="10"/>
  <c r="H58" i="10"/>
  <c r="P58" i="10"/>
  <c r="Z58" i="10"/>
  <c r="AC58" i="10" s="1"/>
  <c r="J58" i="10"/>
  <c r="T58" i="10"/>
  <c r="Z55" i="10"/>
  <c r="AD55" i="10" s="1"/>
  <c r="G48" i="10"/>
  <c r="N48" i="10"/>
  <c r="U48" i="10"/>
  <c r="Z48" i="10"/>
  <c r="AC48" i="10" s="1"/>
  <c r="K48" i="10"/>
  <c r="V48" i="10"/>
  <c r="N46" i="10"/>
  <c r="E46" i="10"/>
  <c r="N42" i="10"/>
  <c r="E42" i="10"/>
  <c r="H28" i="10"/>
  <c r="P28" i="10"/>
  <c r="J22" i="10"/>
  <c r="Q22" i="10"/>
  <c r="W22" i="10"/>
  <c r="G22" i="10"/>
  <c r="R22" i="10"/>
  <c r="X20" i="10"/>
  <c r="E16" i="10"/>
  <c r="P16" i="10"/>
  <c r="J16" i="10"/>
  <c r="J60" i="10"/>
  <c r="Z60" i="10"/>
  <c r="AC60" i="10" s="1"/>
  <c r="K50" i="10"/>
  <c r="V50" i="10"/>
  <c r="K34" i="10"/>
  <c r="Q34" i="10"/>
  <c r="V34" i="10"/>
  <c r="AG34" i="10"/>
  <c r="E31" i="10"/>
  <c r="N31" i="10"/>
  <c r="V31" i="10"/>
  <c r="J15" i="10"/>
  <c r="Z15" i="10"/>
  <c r="AC15" i="10" s="1"/>
  <c r="K10" i="10"/>
  <c r="V10" i="10"/>
  <c r="AE31" i="10"/>
  <c r="AF31" i="10"/>
  <c r="AF42" i="10"/>
  <c r="AE42" i="10"/>
  <c r="AE65" i="10"/>
  <c r="AF65" i="10"/>
  <c r="AF98" i="10"/>
  <c r="AE98" i="10"/>
  <c r="AF203" i="10"/>
  <c r="AE203" i="10"/>
  <c r="AF241" i="10"/>
  <c r="AE241" i="10"/>
  <c r="AD18" i="10"/>
  <c r="AC18" i="10"/>
  <c r="AE30" i="10"/>
  <c r="AF30" i="10"/>
  <c r="AB153" i="10"/>
  <c r="AD8" i="10"/>
  <c r="AC8" i="10"/>
  <c r="AA9" i="10"/>
  <c r="AE155" i="10"/>
  <c r="AF155" i="10"/>
  <c r="AE169" i="10"/>
  <c r="AF169" i="10"/>
  <c r="AF221" i="10"/>
  <c r="AE221" i="10"/>
  <c r="AF294" i="10"/>
  <c r="AE294" i="10"/>
  <c r="AF408" i="10"/>
  <c r="AE408" i="10"/>
  <c r="AE66" i="10"/>
  <c r="AF66" i="10"/>
  <c r="AF145" i="10"/>
  <c r="AE145" i="10"/>
  <c r="AE223" i="10"/>
  <c r="AF223" i="10"/>
  <c r="AF43" i="10"/>
  <c r="AE43" i="10"/>
  <c r="AB82" i="10"/>
  <c r="AA82" i="10"/>
  <c r="AF123" i="10"/>
  <c r="AE123" i="10"/>
  <c r="AC207" i="10"/>
  <c r="AE52" i="10"/>
  <c r="AF52" i="10"/>
  <c r="AE349" i="10"/>
  <c r="AF349" i="10"/>
  <c r="AE359" i="10"/>
  <c r="AF359" i="10"/>
  <c r="AE17" i="10"/>
  <c r="AF17" i="10"/>
  <c r="AE63" i="10"/>
  <c r="AF63" i="10"/>
  <c r="AE273" i="10"/>
  <c r="AF273" i="10"/>
  <c r="AD293" i="10"/>
  <c r="AE395" i="10"/>
  <c r="AF395" i="10"/>
  <c r="AE404" i="10"/>
  <c r="AF404" i="10"/>
  <c r="AA240" i="10"/>
  <c r="AB240" i="10"/>
  <c r="AD384" i="10"/>
  <c r="AC384" i="10"/>
  <c r="AC129" i="10"/>
  <c r="AD141" i="10"/>
  <c r="AE142" i="10"/>
  <c r="AF142" i="10"/>
  <c r="AC198" i="10"/>
  <c r="AF337" i="10"/>
  <c r="AE337" i="10"/>
  <c r="AA270" i="10"/>
  <c r="AE238" i="10"/>
  <c r="AF238" i="10"/>
  <c r="AD275" i="10"/>
  <c r="AC275" i="10"/>
  <c r="AE345" i="10"/>
  <c r="AF345" i="10"/>
  <c r="AC184" i="10"/>
  <c r="AB277" i="10"/>
  <c r="AF224" i="10"/>
  <c r="AE224" i="10"/>
  <c r="AA282" i="10"/>
  <c r="AB282" i="10"/>
  <c r="AF370" i="10"/>
  <c r="AE370" i="10"/>
  <c r="AC378" i="10"/>
  <c r="AE382" i="10"/>
  <c r="AF382" i="10"/>
  <c r="AE410" i="10"/>
  <c r="AF410" i="10"/>
  <c r="AC29" i="10"/>
  <c r="AF29" i="10"/>
  <c r="AE29" i="10"/>
  <c r="B22" i="3"/>
  <c r="C21" i="3"/>
  <c r="AF153" i="10"/>
  <c r="AE153" i="10"/>
  <c r="AD229" i="10"/>
  <c r="AC391" i="10"/>
  <c r="AE9" i="10"/>
  <c r="AF9" i="10"/>
  <c r="AA171" i="10"/>
  <c r="AB171" i="10"/>
  <c r="AD282" i="10"/>
  <c r="AA337" i="10"/>
  <c r="AF286" i="10"/>
  <c r="AE286" i="10"/>
  <c r="AA224" i="10"/>
  <c r="AB224" i="10"/>
  <c r="AB275" i="10"/>
  <c r="AA275" i="10"/>
  <c r="AF275" i="10"/>
  <c r="AE275" i="10"/>
  <c r="AE252" i="10"/>
  <c r="AF252" i="10"/>
  <c r="AC341" i="10"/>
  <c r="AD341" i="10"/>
  <c r="AF46" i="10"/>
  <c r="AE46" i="10"/>
  <c r="AD48" i="10"/>
  <c r="AC55" i="10"/>
  <c r="AE6" i="10"/>
  <c r="AF6" i="10"/>
  <c r="AB203" i="10"/>
  <c r="AA203" i="10"/>
  <c r="AC241" i="10"/>
  <c r="AD241" i="10"/>
  <c r="AC89" i="10"/>
  <c r="AD106" i="10"/>
  <c r="AF199" i="10"/>
  <c r="AE199" i="10"/>
  <c r="AE247" i="10"/>
  <c r="AF247" i="10"/>
  <c r="AB303" i="10"/>
  <c r="AA303" i="10"/>
  <c r="AE190" i="10"/>
  <c r="AF190" i="10"/>
  <c r="AE226" i="10"/>
  <c r="AF226" i="10"/>
  <c r="AE326" i="10"/>
  <c r="AF326" i="10"/>
  <c r="AB375" i="10"/>
  <c r="AD404" i="10"/>
  <c r="AC404" i="10"/>
  <c r="AD417" i="10"/>
  <c r="AF341" i="10"/>
  <c r="AE341" i="10"/>
  <c r="AD11" i="10"/>
  <c r="AF141" i="10"/>
  <c r="AE141" i="10"/>
  <c r="AB154" i="10"/>
  <c r="AA154" i="10"/>
  <c r="AF181" i="10"/>
  <c r="AE181" i="10"/>
  <c r="AF215" i="10"/>
  <c r="AE215" i="10"/>
  <c r="AE263" i="10"/>
  <c r="AF263" i="10"/>
  <c r="AC296" i="10"/>
  <c r="AD296" i="10"/>
  <c r="AA309" i="10"/>
  <c r="AE391" i="10"/>
  <c r="AF391" i="10"/>
  <c r="AC416" i="10"/>
  <c r="AA417" i="10"/>
  <c r="AD60" i="10"/>
  <c r="AE16" i="10"/>
  <c r="AF16" i="10"/>
  <c r="AC65" i="10"/>
  <c r="AE36" i="10"/>
  <c r="AF36" i="10"/>
  <c r="AC193" i="10"/>
  <c r="AD193" i="10"/>
  <c r="AE243" i="10"/>
  <c r="AF243" i="10"/>
  <c r="AA374" i="10"/>
  <c r="AC82" i="10"/>
  <c r="AE18" i="10"/>
  <c r="AF18" i="10"/>
  <c r="AC114" i="10"/>
  <c r="AE118" i="10"/>
  <c r="AF118" i="10"/>
  <c r="AC235" i="10"/>
  <c r="AC359" i="10"/>
  <c r="AD359" i="10"/>
  <c r="AD388" i="10"/>
  <c r="AC388" i="10"/>
  <c r="AE4" i="10"/>
  <c r="AF4" i="10"/>
  <c r="AE271" i="10"/>
  <c r="AF271" i="10"/>
  <c r="AE297" i="10"/>
  <c r="AF297" i="10"/>
  <c r="AA335" i="10"/>
  <c r="AB335" i="10"/>
  <c r="AF312" i="10"/>
  <c r="AE312" i="10"/>
  <c r="AB252" i="10"/>
  <c r="AA252" i="10"/>
  <c r="AA8" i="10"/>
  <c r="AE129" i="10"/>
  <c r="AF129" i="10"/>
  <c r="AA141" i="10"/>
  <c r="AE160" i="10"/>
  <c r="AF160" i="10"/>
  <c r="AB329" i="10"/>
  <c r="AE366" i="10"/>
  <c r="AF366" i="10"/>
  <c r="AF270" i="10"/>
  <c r="AE270" i="10"/>
  <c r="H32" i="3"/>
  <c r="H33" i="3"/>
  <c r="AE24" i="10"/>
  <c r="AF24" i="10"/>
  <c r="AC206" i="10"/>
  <c r="AE206" i="10"/>
  <c r="AF206" i="10"/>
  <c r="AF293" i="10"/>
  <c r="AE293" i="10"/>
  <c r="AE378" i="10"/>
  <c r="AF378" i="10"/>
  <c r="AD383" i="10"/>
  <c r="AE384" i="10"/>
  <c r="AF384" i="10"/>
  <c r="AE402" i="10"/>
  <c r="AF402" i="10"/>
  <c r="AF240" i="10"/>
  <c r="AE240" i="10"/>
  <c r="AF277" i="10"/>
  <c r="AE277" i="10"/>
  <c r="AB286" i="10"/>
  <c r="AA286" i="10"/>
  <c r="S19" i="5"/>
  <c r="M19" i="5"/>
  <c r="H34" i="3"/>
  <c r="E28" i="1"/>
  <c r="E4" i="1"/>
  <c r="E18" i="1"/>
  <c r="E19" i="1"/>
  <c r="E16" i="1"/>
  <c r="E17" i="1"/>
  <c r="E8" i="1"/>
  <c r="E27" i="1"/>
  <c r="E24" i="1"/>
  <c r="E22" i="1"/>
  <c r="E23" i="1"/>
  <c r="E20" i="1"/>
  <c r="E21" i="1"/>
  <c r="E12" i="1"/>
  <c r="E9" i="1"/>
  <c r="E26" i="1"/>
  <c r="E25" i="1"/>
  <c r="E3" i="1"/>
  <c r="C22" i="3"/>
  <c r="B23" i="3"/>
  <c r="E11" i="1"/>
  <c r="E2" i="1"/>
  <c r="B24" i="3"/>
  <c r="C23" i="3"/>
  <c r="H35" i="3"/>
  <c r="H36" i="3"/>
  <c r="H37" i="3"/>
  <c r="E7" i="1"/>
  <c r="E5" i="1"/>
  <c r="E13" i="1"/>
  <c r="E14" i="1"/>
  <c r="E10" i="1"/>
  <c r="E6" i="1"/>
  <c r="E15" i="1"/>
  <c r="C24" i="3"/>
  <c r="B25" i="3"/>
  <c r="B26" i="3"/>
  <c r="C25" i="3"/>
  <c r="C26" i="3"/>
  <c r="B27" i="3"/>
  <c r="C27" i="3"/>
  <c r="B28" i="3"/>
  <c r="C28" i="3"/>
  <c r="B29" i="3"/>
  <c r="B30" i="3"/>
  <c r="C29" i="3"/>
  <c r="C30" i="3"/>
  <c r="B31" i="3"/>
  <c r="C31" i="3"/>
  <c r="B32" i="3"/>
  <c r="C32" i="3"/>
  <c r="B33" i="3"/>
  <c r="B34" i="3"/>
  <c r="C33" i="3"/>
  <c r="C34" i="3"/>
  <c r="B35" i="3"/>
  <c r="C35" i="3"/>
  <c r="B36" i="3"/>
  <c r="C36" i="3"/>
  <c r="B37" i="3"/>
  <c r="B38" i="3"/>
  <c r="C37" i="3"/>
  <c r="C38" i="3"/>
  <c r="B39" i="3"/>
  <c r="C39" i="3"/>
  <c r="B40" i="3"/>
  <c r="C40" i="3"/>
  <c r="B41" i="3"/>
  <c r="B42" i="3"/>
  <c r="C41" i="3"/>
  <c r="C42" i="3"/>
  <c r="B43" i="3"/>
  <c r="C43" i="3"/>
  <c r="B44" i="3"/>
  <c r="C44" i="3"/>
  <c r="B45" i="3"/>
  <c r="B46" i="3"/>
  <c r="C45" i="3"/>
  <c r="C46" i="3"/>
  <c r="B47" i="3"/>
  <c r="C47" i="3"/>
  <c r="B48" i="3"/>
  <c r="C48" i="3"/>
  <c r="B49" i="3"/>
  <c r="B50" i="3"/>
  <c r="C49" i="3"/>
  <c r="C50" i="3"/>
  <c r="B51" i="3"/>
  <c r="C51" i="3"/>
  <c r="B52" i="3"/>
  <c r="C52" i="3"/>
  <c r="B53" i="3"/>
  <c r="B54" i="3"/>
  <c r="C53" i="3"/>
  <c r="C54" i="3"/>
  <c r="B55" i="3"/>
  <c r="C55" i="3"/>
  <c r="B56" i="3"/>
  <c r="C56" i="3"/>
  <c r="B57" i="3"/>
  <c r="B58" i="3"/>
  <c r="C57" i="3"/>
  <c r="C58" i="3"/>
  <c r="B59" i="3"/>
  <c r="C59" i="3"/>
  <c r="B60" i="3"/>
  <c r="C60" i="3"/>
  <c r="B61" i="3"/>
  <c r="B62" i="3"/>
  <c r="C61" i="3"/>
  <c r="C62" i="3"/>
  <c r="B63" i="3"/>
  <c r="C63" i="3"/>
  <c r="B64" i="3"/>
  <c r="C64" i="3"/>
  <c r="B65" i="3"/>
  <c r="B66" i="3"/>
  <c r="C65" i="3"/>
  <c r="C66" i="3"/>
  <c r="B67" i="3"/>
  <c r="C67" i="3"/>
  <c r="B68" i="3"/>
  <c r="C68" i="3"/>
  <c r="B69" i="3"/>
  <c r="B70" i="3"/>
  <c r="C69" i="3"/>
  <c r="C70" i="3"/>
  <c r="B71" i="3"/>
  <c r="C71" i="3"/>
  <c r="B72" i="3"/>
  <c r="C72" i="3"/>
  <c r="B73" i="3"/>
  <c r="B74" i="3"/>
  <c r="C73" i="3"/>
  <c r="C74" i="3"/>
  <c r="B75" i="3"/>
  <c r="B76" i="3"/>
  <c r="C76" i="3"/>
  <c r="C75" i="3"/>
  <c r="O231" i="10"/>
  <c r="L254" i="10"/>
  <c r="O200" i="10"/>
  <c r="M208" i="10"/>
  <c r="G63" i="3"/>
  <c r="E69" i="4"/>
  <c r="F63" i="4"/>
  <c r="O222" i="10"/>
  <c r="F65" i="4"/>
  <c r="O187" i="10"/>
  <c r="E88" i="4"/>
  <c r="D106" i="8"/>
  <c r="N228" i="10"/>
  <c r="F91" i="4"/>
  <c r="N234" i="10"/>
  <c r="N386" i="10"/>
  <c r="M167" i="10"/>
  <c r="E81" i="4"/>
  <c r="G64" i="3"/>
  <c r="G22" i="3"/>
  <c r="F46" i="4"/>
  <c r="G51" i="3"/>
  <c r="E22" i="4"/>
  <c r="N334" i="10"/>
  <c r="G24" i="3"/>
  <c r="N125" i="10"/>
  <c r="E110" i="4"/>
  <c r="F52" i="4"/>
  <c r="E115" i="4"/>
  <c r="F103" i="4"/>
  <c r="F37" i="4"/>
  <c r="N269" i="10"/>
  <c r="D107" i="8"/>
  <c r="F110" i="4"/>
  <c r="D83" i="8"/>
  <c r="O299" i="10"/>
  <c r="N208" i="10"/>
  <c r="E19" i="4"/>
  <c r="L152" i="10"/>
  <c r="O217" i="10"/>
  <c r="F44" i="4"/>
  <c r="N254" i="10"/>
  <c r="D125" i="8"/>
  <c r="D72" i="8"/>
  <c r="G42" i="3"/>
  <c r="D35" i="8"/>
  <c r="E80" i="4"/>
  <c r="E54" i="4"/>
  <c r="G38" i="3"/>
  <c r="E56" i="4"/>
  <c r="N310" i="10"/>
  <c r="F78" i="4"/>
  <c r="L386" i="10"/>
  <c r="L260" i="10"/>
  <c r="G32" i="3"/>
  <c r="O97" i="10"/>
  <c r="O213" i="10"/>
  <c r="D137" i="8"/>
  <c r="F84" i="4"/>
  <c r="F89" i="4"/>
  <c r="D128" i="8"/>
  <c r="E29" i="4"/>
  <c r="F115" i="4"/>
  <c r="F23" i="4"/>
  <c r="M157" i="10"/>
  <c r="K208" i="10"/>
  <c r="L371" i="10"/>
  <c r="D92" i="8"/>
  <c r="N167" i="10"/>
  <c r="K112" i="10"/>
  <c r="F85" i="4"/>
  <c r="G56" i="3"/>
  <c r="D120" i="8"/>
  <c r="E63" i="4"/>
  <c r="F48" i="4"/>
  <c r="N318" i="10"/>
  <c r="F60" i="4"/>
  <c r="F26" i="4"/>
  <c r="O386" i="10"/>
  <c r="F29" i="4"/>
  <c r="M267" i="10"/>
  <c r="F102" i="4"/>
  <c r="E24" i="4"/>
  <c r="M112" i="10"/>
  <c r="D144" i="8"/>
  <c r="D54" i="8"/>
  <c r="E91" i="4"/>
  <c r="F118" i="4"/>
  <c r="F72" i="4"/>
  <c r="L228" i="10"/>
  <c r="K12" i="10"/>
  <c r="O251" i="10"/>
  <c r="F67" i="4"/>
  <c r="K310" i="10"/>
  <c r="F105" i="4"/>
  <c r="D114" i="8"/>
  <c r="N231" i="10"/>
  <c r="F41" i="4"/>
  <c r="K187" i="10"/>
  <c r="G41" i="3"/>
  <c r="O371" i="10"/>
  <c r="F82" i="4"/>
  <c r="E113" i="4"/>
  <c r="O152" i="10"/>
  <c r="M228" i="10"/>
  <c r="D132" i="8"/>
  <c r="O256" i="10"/>
  <c r="N288" i="10"/>
  <c r="F94" i="4"/>
  <c r="E45" i="4"/>
  <c r="F120" i="4"/>
  <c r="K334" i="10"/>
  <c r="D71" i="8"/>
  <c r="F124" i="4"/>
  <c r="O40" i="10"/>
  <c r="E39" i="4"/>
  <c r="O12" i="10"/>
  <c r="N407" i="10"/>
  <c r="E109" i="4"/>
  <c r="E100" i="4"/>
  <c r="D147" i="8"/>
  <c r="M183" i="10"/>
  <c r="L187" i="10"/>
  <c r="N299" i="10"/>
  <c r="M152" i="10"/>
  <c r="D101" i="8"/>
  <c r="D96" i="8"/>
  <c r="L200" i="10"/>
  <c r="D39" i="8"/>
  <c r="D149" i="8"/>
  <c r="N225" i="10"/>
  <c r="F87" i="4"/>
  <c r="F96" i="4"/>
  <c r="F28" i="4"/>
  <c r="F101" i="4"/>
  <c r="G26" i="3"/>
  <c r="K256" i="10"/>
  <c r="E37" i="4"/>
  <c r="D36" i="8"/>
  <c r="E98" i="4"/>
  <c r="O112" i="10"/>
  <c r="E120" i="4"/>
  <c r="D74" i="8"/>
  <c r="F61" i="4"/>
  <c r="O407" i="10"/>
  <c r="K231" i="10"/>
  <c r="K386" i="10"/>
  <c r="E58" i="4"/>
  <c r="D124" i="8"/>
  <c r="O334" i="10"/>
  <c r="E27" i="4"/>
  <c r="E126" i="4"/>
  <c r="D139" i="8"/>
  <c r="N140" i="10"/>
  <c r="N260" i="10"/>
  <c r="K217" i="10"/>
  <c r="N97" i="10"/>
  <c r="G65" i="3"/>
  <c r="E47" i="4"/>
  <c r="D109" i="8"/>
  <c r="N56" i="10"/>
  <c r="E52" i="4"/>
  <c r="D30" i="8"/>
  <c r="N112" i="10"/>
  <c r="G58" i="3"/>
  <c r="L97" i="10"/>
  <c r="O254" i="10"/>
  <c r="E94" i="4"/>
  <c r="E55" i="4"/>
  <c r="M409" i="10"/>
  <c r="M325" i="10"/>
  <c r="L71" i="10"/>
  <c r="F112" i="4"/>
  <c r="L288" i="10"/>
  <c r="G70" i="3"/>
  <c r="D67" i="8"/>
  <c r="E34" i="4"/>
  <c r="F90" i="4"/>
  <c r="N213" i="10"/>
  <c r="L56" i="10"/>
  <c r="F27" i="4"/>
  <c r="F93" i="4"/>
  <c r="M125" i="10"/>
  <c r="L208" i="10"/>
  <c r="D43" i="8"/>
  <c r="O269" i="10"/>
  <c r="L334" i="10"/>
  <c r="M12" i="10"/>
  <c r="K283" i="10"/>
  <c r="D145" i="8"/>
  <c r="F119" i="4"/>
  <c r="F45" i="4"/>
  <c r="G31" i="3"/>
  <c r="E32" i="4"/>
  <c r="G59" i="3"/>
  <c r="G18" i="3"/>
  <c r="E49" i="4"/>
  <c r="D40" i="8"/>
  <c r="D113" i="8"/>
  <c r="D88" i="8"/>
  <c r="G62" i="3"/>
  <c r="M200" i="10"/>
  <c r="F38" i="4"/>
  <c r="F25" i="4"/>
  <c r="L310" i="10"/>
  <c r="K267" i="10"/>
  <c r="L225" i="10"/>
  <c r="D61" i="8"/>
  <c r="E107" i="4"/>
  <c r="F122" i="4"/>
  <c r="E101" i="4"/>
  <c r="D68" i="8"/>
  <c r="L234" i="10"/>
  <c r="E108" i="4"/>
  <c r="E43" i="4"/>
  <c r="M280" i="10"/>
  <c r="F42" i="4"/>
  <c r="L267" i="10"/>
  <c r="G36" i="3"/>
  <c r="E84" i="4"/>
  <c r="N371" i="10"/>
  <c r="M371" i="10"/>
  <c r="F22" i="4"/>
  <c r="G19" i="3"/>
  <c r="N189" i="10"/>
  <c r="K228" i="10"/>
  <c r="D90" i="8"/>
  <c r="M234" i="10"/>
  <c r="K189" i="10"/>
  <c r="E87" i="4"/>
  <c r="D56" i="8"/>
  <c r="D98" i="8"/>
  <c r="L12" i="10"/>
  <c r="D93" i="8"/>
  <c r="M222" i="10"/>
  <c r="E46" i="4"/>
  <c r="F32" i="4"/>
  <c r="K97" i="10"/>
  <c r="F20" i="4"/>
  <c r="G39" i="3"/>
  <c r="E73" i="4"/>
  <c r="D94" i="8"/>
  <c r="K346" i="10"/>
  <c r="E77" i="4"/>
  <c r="L204" i="10"/>
  <c r="F121" i="4"/>
  <c r="K213" i="10"/>
  <c r="D142" i="8"/>
  <c r="K407" i="10"/>
  <c r="N200" i="10"/>
  <c r="O140" i="10"/>
  <c r="K183" i="10"/>
  <c r="D50" i="8"/>
  <c r="F54" i="4"/>
  <c r="D141" i="8"/>
  <c r="N14" i="10"/>
  <c r="M260" i="10"/>
  <c r="G17" i="3"/>
  <c r="D133" i="8"/>
  <c r="E21" i="4"/>
  <c r="L325" i="10"/>
  <c r="E85" i="4"/>
  <c r="O204" i="10"/>
  <c r="F31" i="4"/>
  <c r="M217" i="10"/>
  <c r="E121" i="4"/>
  <c r="K140" i="10"/>
  <c r="E42" i="4"/>
  <c r="D87" i="8"/>
  <c r="E25" i="4"/>
  <c r="O225" i="10"/>
  <c r="M213" i="10"/>
  <c r="K71" i="10"/>
  <c r="D122" i="8"/>
  <c r="D116" i="8"/>
  <c r="F116" i="4"/>
  <c r="E20" i="4"/>
  <c r="F35" i="4"/>
  <c r="E59" i="4"/>
  <c r="G76" i="3"/>
  <c r="F59" i="4"/>
  <c r="N40" i="10"/>
  <c r="E78" i="4"/>
  <c r="K167" i="10"/>
  <c r="E82" i="4"/>
  <c r="K125" i="10"/>
  <c r="G25" i="3"/>
  <c r="D46" i="8"/>
  <c r="O183" i="10"/>
  <c r="E95" i="4"/>
  <c r="D82" i="8"/>
  <c r="D34" i="8"/>
  <c r="D100" i="8"/>
  <c r="F86" i="4"/>
  <c r="F123" i="4"/>
  <c r="E65" i="4"/>
  <c r="L318" i="10"/>
  <c r="G60" i="3"/>
  <c r="G50" i="3"/>
  <c r="F51" i="4"/>
  <c r="O274" i="10"/>
  <c r="F109" i="4"/>
  <c r="M71" i="10"/>
  <c r="L231" i="10"/>
  <c r="D66" i="8"/>
  <c r="E31" i="4"/>
  <c r="D79" i="8"/>
  <c r="L269" i="10"/>
  <c r="K299" i="10"/>
  <c r="D99" i="8"/>
  <c r="D146" i="8"/>
  <c r="E23" i="4"/>
  <c r="E104" i="4"/>
  <c r="N157" i="10"/>
  <c r="K371" i="10"/>
  <c r="F92" i="4"/>
  <c r="D64" i="8"/>
  <c r="D143" i="8"/>
  <c r="F39" i="4"/>
  <c r="M318" i="10"/>
  <c r="K14" i="10"/>
  <c r="E44" i="4"/>
  <c r="E51" i="4"/>
  <c r="D29" i="8"/>
  <c r="D148" i="8"/>
  <c r="K269" i="10"/>
  <c r="G37" i="3"/>
  <c r="F62" i="4"/>
  <c r="N251" i="10"/>
  <c r="E125" i="4"/>
  <c r="O125" i="10"/>
  <c r="F125" i="4"/>
  <c r="F64" i="4"/>
  <c r="K318" i="10"/>
  <c r="M187" i="10"/>
  <c r="F68" i="4"/>
  <c r="D47" i="8"/>
  <c r="E96" i="4"/>
  <c r="K251" i="10"/>
  <c r="M140" i="10"/>
  <c r="D127" i="8"/>
  <c r="D102" i="8"/>
  <c r="D103" i="8"/>
  <c r="A5" i="7"/>
  <c r="G45" i="3"/>
  <c r="F75" i="4"/>
  <c r="N346" i="10"/>
  <c r="E74" i="4"/>
  <c r="L3" i="7"/>
  <c r="G49" i="3"/>
  <c r="M334" i="10"/>
  <c r="F33" i="4"/>
  <c r="L217" i="10"/>
  <c r="N152" i="10"/>
  <c r="M352" i="10"/>
  <c r="E72" i="4"/>
  <c r="K352" i="10"/>
  <c r="D52" i="8"/>
  <c r="N12" i="10"/>
  <c r="E119" i="4"/>
  <c r="E28" i="4"/>
  <c r="E61" i="4"/>
  <c r="D62" i="8"/>
  <c r="E105" i="4"/>
  <c r="G52" i="3"/>
  <c r="G35" i="3"/>
  <c r="N204" i="10"/>
  <c r="M310" i="10"/>
  <c r="O267" i="10"/>
  <c r="D140" i="8"/>
  <c r="E67" i="4"/>
  <c r="E83" i="4"/>
  <c r="O288" i="10"/>
  <c r="O310" i="10"/>
  <c r="D105" i="8"/>
  <c r="E103" i="4"/>
  <c r="E53" i="4"/>
  <c r="L274" i="10"/>
  <c r="E122" i="4"/>
  <c r="F107" i="4"/>
  <c r="N4" i="7"/>
  <c r="D53" i="8"/>
  <c r="F49" i="4"/>
  <c r="G20" i="3"/>
  <c r="D112" i="8"/>
  <c r="F53" i="4"/>
  <c r="L189" i="10"/>
  <c r="M269" i="10"/>
  <c r="D37" i="8"/>
  <c r="D84" i="8"/>
  <c r="E92" i="4"/>
  <c r="F99" i="4"/>
  <c r="G53" i="3"/>
  <c r="D123" i="8"/>
  <c r="G74" i="3"/>
  <c r="D78" i="8"/>
  <c r="O260" i="10"/>
  <c r="F66" i="4"/>
  <c r="L222" i="10"/>
  <c r="K157" i="10"/>
  <c r="E116" i="4"/>
  <c r="G57" i="3"/>
  <c r="O318" i="10"/>
  <c r="D85" i="8"/>
  <c r="G75" i="3"/>
  <c r="E117" i="4"/>
  <c r="G71" i="3"/>
  <c r="E30" i="4"/>
  <c r="L409" i="10"/>
  <c r="E97" i="4"/>
  <c r="F80" i="4"/>
  <c r="D77" i="8"/>
  <c r="F95" i="4"/>
  <c r="D81" i="8"/>
  <c r="D41" i="8"/>
  <c r="D63" i="8"/>
  <c r="M256" i="10"/>
  <c r="E106" i="4"/>
  <c r="D130" i="8"/>
  <c r="O157" i="10"/>
  <c r="E40" i="4"/>
  <c r="E64" i="4"/>
  <c r="E114" i="4"/>
  <c r="L112" i="10"/>
  <c r="G40" i="3"/>
  <c r="F98" i="4"/>
  <c r="E48" i="4"/>
  <c r="N222" i="10"/>
  <c r="D134" i="8"/>
  <c r="M189" i="10"/>
  <c r="D75" i="8"/>
  <c r="E60" i="4"/>
  <c r="D119" i="8"/>
  <c r="F77" i="4"/>
  <c r="M254" i="10"/>
  <c r="K204" i="10"/>
  <c r="F81" i="4"/>
  <c r="D55" i="8"/>
  <c r="O208" i="10"/>
  <c r="G27" i="3"/>
  <c r="M283" i="10"/>
  <c r="N283" i="10"/>
  <c r="F117" i="4"/>
  <c r="D135" i="8"/>
  <c r="K288" i="10"/>
  <c r="L299" i="10"/>
  <c r="K234" i="10"/>
  <c r="E57" i="4"/>
  <c r="F57" i="4"/>
  <c r="F114" i="4"/>
  <c r="N3" i="7"/>
  <c r="G66" i="3"/>
  <c r="N274" i="10"/>
  <c r="E111" i="4"/>
  <c r="M299" i="10"/>
  <c r="D86" i="8"/>
  <c r="N71" i="10"/>
  <c r="D59" i="8"/>
  <c r="F71" i="4"/>
  <c r="K200" i="10"/>
  <c r="E35" i="4"/>
  <c r="M386" i="10"/>
  <c r="M3" i="7"/>
  <c r="F97" i="4"/>
  <c r="F34" i="4"/>
  <c r="F24" i="4"/>
  <c r="L183" i="10"/>
  <c r="O234" i="10"/>
  <c r="K409" i="10"/>
  <c r="D69" i="8"/>
  <c r="F36" i="4"/>
  <c r="D117" i="8"/>
  <c r="N352" i="10"/>
  <c r="E123" i="4"/>
  <c r="G30" i="3"/>
  <c r="O71" i="10"/>
  <c r="F106" i="4"/>
  <c r="D104" i="8"/>
  <c r="D31" i="8"/>
  <c r="F50" i="4"/>
  <c r="K56" i="10"/>
  <c r="F108" i="4"/>
  <c r="D111" i="8"/>
  <c r="D118" i="8"/>
  <c r="F79" i="4"/>
  <c r="O14" i="10"/>
  <c r="D60" i="8"/>
  <c r="F30" i="4"/>
  <c r="E66" i="4"/>
  <c r="L40" i="10"/>
  <c r="G48" i="3"/>
  <c r="N217" i="10"/>
  <c r="O346" i="10"/>
  <c r="M288" i="10"/>
  <c r="L256" i="10"/>
  <c r="D150" i="8"/>
  <c r="M97" i="10"/>
  <c r="D126" i="8"/>
  <c r="D110" i="8"/>
  <c r="G33" i="3"/>
  <c r="O325" i="10"/>
  <c r="O280" i="10"/>
  <c r="K152" i="10"/>
  <c r="K280" i="10"/>
  <c r="E112" i="4"/>
  <c r="D80" i="8"/>
  <c r="F56" i="4"/>
  <c r="L125" i="10"/>
  <c r="E76" i="4"/>
  <c r="L352" i="10"/>
  <c r="N187" i="10"/>
  <c r="F47" i="4"/>
  <c r="M40" i="10"/>
  <c r="L140" i="10"/>
  <c r="L280" i="10"/>
  <c r="E68" i="4"/>
  <c r="E70" i="4"/>
  <c r="G72" i="3"/>
  <c r="F83" i="4"/>
  <c r="D89" i="8"/>
  <c r="F40" i="4"/>
  <c r="M346" i="10"/>
  <c r="L157" i="10"/>
  <c r="G28" i="3"/>
  <c r="M407" i="10"/>
  <c r="E38" i="4"/>
  <c r="F73" i="4"/>
  <c r="D136" i="8"/>
  <c r="E93" i="4"/>
  <c r="M14" i="10"/>
  <c r="D65" i="8"/>
  <c r="O2" i="7"/>
  <c r="G67" i="3"/>
  <c r="D151" i="8"/>
  <c r="F111" i="4"/>
  <c r="E71" i="4"/>
  <c r="O283" i="10"/>
  <c r="E75" i="4"/>
  <c r="L407" i="10"/>
  <c r="D131" i="8"/>
  <c r="O167" i="10"/>
  <c r="K325" i="10"/>
  <c r="D45" i="8"/>
  <c r="F88" i="4"/>
  <c r="D49" i="8"/>
  <c r="F70" i="4"/>
  <c r="D57" i="8"/>
  <c r="E118" i="4"/>
  <c r="G23" i="3"/>
  <c r="D108" i="8"/>
  <c r="D115" i="8"/>
  <c r="F55" i="4"/>
  <c r="G54" i="3"/>
  <c r="F69" i="4"/>
  <c r="G61" i="3"/>
  <c r="L167" i="10"/>
  <c r="M231" i="10"/>
  <c r="E33" i="4"/>
  <c r="D44" i="8"/>
  <c r="D38" i="8"/>
  <c r="D58" i="8"/>
  <c r="F104" i="4"/>
  <c r="F58" i="4"/>
  <c r="E124" i="4"/>
  <c r="M56" i="10"/>
  <c r="G34" i="3"/>
  <c r="O409" i="10"/>
  <c r="G43" i="3"/>
  <c r="M274" i="10"/>
  <c r="K222" i="10"/>
  <c r="K225" i="10"/>
  <c r="N409" i="10"/>
  <c r="E86" i="4"/>
  <c r="D73" i="8"/>
  <c r="N256" i="10"/>
  <c r="F126" i="4"/>
  <c r="K260" i="10"/>
  <c r="F113" i="4"/>
  <c r="K40" i="10"/>
  <c r="K254" i="10"/>
  <c r="M251" i="10"/>
  <c r="E90" i="4"/>
  <c r="F74" i="4"/>
  <c r="L4" i="7"/>
  <c r="F76" i="4"/>
  <c r="E89" i="4"/>
  <c r="E79" i="4"/>
  <c r="L213" i="10"/>
  <c r="G21" i="3"/>
  <c r="N267" i="10"/>
  <c r="G69" i="3"/>
  <c r="K274" i="10"/>
  <c r="E50" i="4"/>
  <c r="D70" i="8"/>
  <c r="N280" i="10"/>
  <c r="E102" i="4"/>
  <c r="N325" i="10"/>
  <c r="L251" i="10"/>
  <c r="E26" i="4"/>
  <c r="G46" i="3"/>
  <c r="G55" i="3"/>
  <c r="O352" i="10"/>
  <c r="L346" i="10"/>
  <c r="D76" i="8"/>
  <c r="L14" i="10"/>
  <c r="E36" i="4"/>
  <c r="D33" i="8"/>
  <c r="D138" i="8"/>
  <c r="F19" i="4"/>
  <c r="D32" i="8"/>
  <c r="D42" i="8"/>
  <c r="E41" i="4"/>
  <c r="E99" i="4"/>
  <c r="M225" i="10"/>
  <c r="G68" i="3"/>
  <c r="D51" i="8"/>
  <c r="F43" i="4"/>
  <c r="L283" i="10"/>
  <c r="D97" i="8"/>
  <c r="G73" i="3"/>
  <c r="O56" i="10"/>
  <c r="G29" i="3"/>
  <c r="F21" i="4"/>
  <c r="O228" i="10"/>
  <c r="M204" i="10"/>
  <c r="E62" i="4"/>
  <c r="D91" i="8"/>
  <c r="D121" i="8"/>
  <c r="D95" i="8"/>
  <c r="M4" i="7"/>
  <c r="O189" i="10"/>
  <c r="N183" i="10"/>
  <c r="D48" i="8"/>
  <c r="D129" i="8"/>
  <c r="G44" i="3"/>
  <c r="F100" i="4"/>
  <c r="G47" i="3"/>
  <c r="D10" i="1"/>
  <c r="D11" i="1"/>
  <c r="D24" i="1"/>
  <c r="F28" i="1"/>
  <c r="G21" i="1"/>
  <c r="G9" i="1"/>
  <c r="D27" i="1"/>
  <c r="G22" i="1"/>
  <c r="G20" i="1"/>
  <c r="F8" i="1"/>
  <c r="F26" i="1"/>
  <c r="F10" i="1"/>
  <c r="G12" i="1"/>
  <c r="D17" i="1"/>
  <c r="D22" i="1"/>
  <c r="D20" i="1"/>
  <c r="G10" i="1"/>
  <c r="F27" i="1"/>
  <c r="G15" i="1"/>
  <c r="F9" i="1"/>
  <c r="F16" i="1"/>
  <c r="F14" i="1"/>
  <c r="F13" i="1"/>
  <c r="F12" i="1"/>
  <c r="D23" i="1"/>
  <c r="F25" i="1"/>
  <c r="G23" i="1"/>
  <c r="F11" i="1"/>
  <c r="G14" i="1"/>
  <c r="D21" i="1"/>
  <c r="F24" i="1"/>
  <c r="D16" i="1"/>
  <c r="F20" i="1"/>
  <c r="D28" i="1"/>
  <c r="G13" i="1"/>
  <c r="G11" i="1"/>
  <c r="D15" i="1"/>
  <c r="F17" i="1"/>
  <c r="D18" i="1"/>
  <c r="G28" i="1"/>
  <c r="G8" i="1"/>
  <c r="F15" i="1"/>
  <c r="G27" i="1"/>
  <c r="D14" i="1"/>
  <c r="F22" i="1"/>
  <c r="G26" i="1"/>
  <c r="D9" i="1"/>
  <c r="G25" i="1"/>
  <c r="F19" i="1"/>
  <c r="G18" i="1"/>
  <c r="D13" i="1"/>
  <c r="D26" i="1"/>
  <c r="F21" i="1"/>
  <c r="G19" i="1"/>
  <c r="G24" i="1"/>
  <c r="G17" i="1"/>
  <c r="F18" i="1"/>
  <c r="D25" i="1"/>
  <c r="G16" i="1"/>
  <c r="D19" i="1"/>
  <c r="D8" i="1"/>
  <c r="F23" i="1"/>
  <c r="D12" i="1"/>
  <c r="D7" i="1"/>
  <c r="G7" i="1"/>
  <c r="G6" i="1"/>
  <c r="F7" i="1"/>
  <c r="F6" i="1"/>
  <c r="D6" i="1"/>
  <c r="D3" i="1"/>
  <c r="F2" i="1"/>
  <c r="G3" i="1"/>
  <c r="F3" i="1"/>
  <c r="D2" i="1"/>
  <c r="G4" i="1"/>
  <c r="F4" i="1"/>
  <c r="D5" i="1"/>
  <c r="D4" i="1"/>
  <c r="G2" i="1"/>
  <c r="F5" i="1"/>
  <c r="G5" i="1"/>
  <c r="D6" i="8"/>
  <c r="D10" i="8"/>
  <c r="D7" i="8"/>
  <c r="D8" i="8"/>
  <c r="D5" i="8"/>
  <c r="D11" i="8"/>
  <c r="D12" i="8"/>
  <c r="D9" i="8"/>
  <c r="D17" i="8"/>
  <c r="D20" i="8"/>
  <c r="D21" i="8"/>
  <c r="D22" i="8"/>
  <c r="D15" i="8"/>
  <c r="D19" i="8"/>
  <c r="D18" i="8"/>
  <c r="D28" i="8"/>
  <c r="D24" i="8"/>
  <c r="D23" i="8"/>
  <c r="D16" i="8"/>
  <c r="D13" i="8"/>
  <c r="D25" i="8"/>
  <c r="D26" i="8"/>
  <c r="D14" i="8"/>
  <c r="D27" i="8"/>
  <c r="E4" i="4"/>
  <c r="F13" i="4"/>
  <c r="F9" i="4"/>
  <c r="F17" i="4"/>
  <c r="F14" i="4"/>
  <c r="F6" i="4"/>
  <c r="E14" i="4"/>
  <c r="F7" i="4"/>
  <c r="F4" i="4"/>
  <c r="E9" i="4"/>
  <c r="F18" i="4"/>
  <c r="F5" i="4"/>
  <c r="E11" i="4"/>
  <c r="E16" i="4"/>
  <c r="E7" i="4"/>
  <c r="E2" i="4"/>
  <c r="E12" i="4"/>
  <c r="E17" i="4"/>
  <c r="F2" i="4"/>
  <c r="E3" i="4"/>
  <c r="E5" i="4"/>
  <c r="E13" i="4"/>
  <c r="F3" i="4"/>
  <c r="E8" i="4"/>
  <c r="F12" i="4"/>
  <c r="E15" i="4"/>
  <c r="F10" i="4"/>
  <c r="E18" i="4"/>
  <c r="F11" i="4"/>
  <c r="E6" i="4"/>
  <c r="F16" i="4"/>
  <c r="F15" i="4"/>
  <c r="F8" i="4"/>
  <c r="E10" i="4"/>
  <c r="H3" i="9" l="1"/>
  <c r="I3" i="9"/>
  <c r="K3" i="9"/>
  <c r="J3" i="9"/>
  <c r="J5" i="9"/>
  <c r="I5" i="9"/>
  <c r="K5" i="9"/>
  <c r="H5" i="9"/>
  <c r="I6" i="9"/>
  <c r="J6" i="9"/>
  <c r="H6" i="9"/>
  <c r="I8" i="9"/>
  <c r="J8" i="9"/>
  <c r="H8" i="9"/>
  <c r="K8" i="9"/>
  <c r="H10" i="9"/>
  <c r="K10" i="9"/>
  <c r="I10" i="9"/>
  <c r="J10" i="9"/>
  <c r="J11" i="9"/>
  <c r="K11" i="9"/>
  <c r="I11" i="9"/>
  <c r="H11" i="9"/>
  <c r="H13" i="9"/>
  <c r="K13" i="9"/>
  <c r="I13" i="9"/>
  <c r="J13" i="9"/>
  <c r="J14" i="9"/>
  <c r="K14" i="9"/>
  <c r="K15" i="9"/>
  <c r="J15" i="9"/>
  <c r="K16" i="9"/>
  <c r="J16" i="9"/>
  <c r="K17" i="9"/>
  <c r="J17" i="9"/>
  <c r="K18" i="9"/>
  <c r="J18" i="9"/>
  <c r="K19" i="9"/>
  <c r="J19" i="9"/>
  <c r="K20" i="9"/>
  <c r="J20" i="9"/>
  <c r="J21" i="9"/>
  <c r="K21" i="9"/>
  <c r="K22" i="9"/>
  <c r="J22" i="9"/>
  <c r="J23" i="9"/>
  <c r="K23" i="9"/>
  <c r="J24" i="9"/>
  <c r="K24" i="9"/>
  <c r="K25" i="9"/>
  <c r="J25" i="9"/>
  <c r="AA209" i="10"/>
  <c r="AD361" i="10"/>
  <c r="AA361" i="10"/>
  <c r="AD312" i="10"/>
  <c r="AD418" i="10"/>
  <c r="AA20" i="10"/>
  <c r="AB64" i="10"/>
  <c r="AB78" i="10"/>
  <c r="AC131" i="10"/>
  <c r="AA108" i="10"/>
  <c r="AC250" i="10"/>
  <c r="AA376" i="10"/>
  <c r="AA55" i="10"/>
  <c r="AA242" i="10"/>
  <c r="AA246" i="10"/>
  <c r="AA258" i="10"/>
  <c r="AD350" i="10"/>
  <c r="AD271" i="10"/>
  <c r="AA247" i="10"/>
  <c r="AA151" i="10"/>
  <c r="AC330" i="10"/>
  <c r="AC173" i="10"/>
  <c r="AD220" i="10"/>
  <c r="AA293" i="10"/>
  <c r="AD103" i="10"/>
  <c r="AA86" i="10"/>
  <c r="AD101" i="10"/>
  <c r="AD174" i="10"/>
  <c r="AD19" i="10"/>
  <c r="AC317" i="10"/>
  <c r="AA114" i="10"/>
  <c r="AD370" i="10"/>
  <c r="AC121" i="10"/>
  <c r="AD155" i="10"/>
  <c r="AC245" i="10"/>
  <c r="AB58" i="10"/>
  <c r="AD32" i="10"/>
  <c r="AC276" i="10"/>
  <c r="AC353" i="10"/>
  <c r="AD58" i="10"/>
  <c r="AC375" i="10"/>
  <c r="AB164" i="10"/>
  <c r="AD321" i="10"/>
  <c r="AD335" i="10"/>
  <c r="AA35" i="10"/>
  <c r="AD38" i="10"/>
  <c r="AB263" i="10"/>
  <c r="AB165" i="10"/>
  <c r="AB76" i="10"/>
  <c r="AD315" i="10"/>
  <c r="AA323" i="10"/>
  <c r="AC171" i="10"/>
  <c r="AD15" i="10"/>
  <c r="AA124" i="10"/>
  <c r="AA98" i="10"/>
  <c r="AC281" i="10"/>
  <c r="AD347" i="10"/>
  <c r="AB156" i="10"/>
  <c r="AC33" i="10"/>
  <c r="AB46" i="10"/>
  <c r="AC13" i="10"/>
  <c r="AB411" i="10"/>
  <c r="AC120" i="10"/>
  <c r="AD264" i="10"/>
  <c r="AA147" i="10"/>
  <c r="AA362" i="10"/>
  <c r="AA404" i="10"/>
  <c r="AD218" i="10"/>
  <c r="AC232" i="10"/>
  <c r="AB72" i="10"/>
  <c r="AD389" i="10"/>
  <c r="AB148" i="10"/>
  <c r="AB358" i="10"/>
  <c r="AD279" i="10"/>
  <c r="AB206" i="10"/>
  <c r="AC90" i="10"/>
  <c r="E29" i="8"/>
  <c r="F29" i="8" s="1"/>
  <c r="G29" i="8" s="1"/>
  <c r="E143" i="8"/>
  <c r="F143" i="8" s="1"/>
  <c r="G143" i="8" s="1"/>
  <c r="P288" i="10"/>
  <c r="E121" i="8"/>
  <c r="F121" i="8" s="1"/>
  <c r="G121" i="8" s="1"/>
  <c r="E97" i="8"/>
  <c r="F97" i="8" s="1"/>
  <c r="G97" i="8" s="1"/>
  <c r="P189" i="10"/>
  <c r="Q157" i="10"/>
  <c r="P204" i="10"/>
  <c r="S204" i="10"/>
  <c r="E64" i="8"/>
  <c r="F64" i="8" s="1"/>
  <c r="G64" i="8" s="1"/>
  <c r="E91" i="8"/>
  <c r="F91" i="8" s="1"/>
  <c r="G91" i="8" s="1"/>
  <c r="R283" i="10"/>
  <c r="Q12" i="10"/>
  <c r="P217" i="10"/>
  <c r="E69" i="8"/>
  <c r="F69" i="8" s="1"/>
  <c r="G69" i="8" s="1"/>
  <c r="E130" i="8"/>
  <c r="F130" i="8" s="1"/>
  <c r="G130" i="8" s="1"/>
  <c r="P260" i="10"/>
  <c r="Q256" i="10"/>
  <c r="E136" i="8"/>
  <c r="F136" i="8" s="1"/>
  <c r="G136" i="8" s="1"/>
  <c r="E51" i="8"/>
  <c r="F51" i="8" s="1"/>
  <c r="G51" i="8" s="1"/>
  <c r="Q217" i="10"/>
  <c r="E132" i="8"/>
  <c r="F132" i="8" s="1"/>
  <c r="G132" i="8" s="1"/>
  <c r="Q409" i="10"/>
  <c r="Q234" i="10"/>
  <c r="E63" i="8"/>
  <c r="F63" i="8" s="1"/>
  <c r="G63" i="8" s="1"/>
  <c r="E10" i="8"/>
  <c r="F10" i="8" s="1"/>
  <c r="G10" i="8" s="1"/>
  <c r="E145" i="8"/>
  <c r="F145" i="8" s="1"/>
  <c r="G145" i="8" s="1"/>
  <c r="P140" i="10"/>
  <c r="E26" i="8"/>
  <c r="F26" i="8" s="1"/>
  <c r="G26" i="8" s="1"/>
  <c r="P157" i="10"/>
  <c r="S157" i="10"/>
  <c r="E48" i="8"/>
  <c r="F48" i="8" s="1"/>
  <c r="G48" i="8" s="1"/>
  <c r="E24" i="8"/>
  <c r="F24" i="8" s="1"/>
  <c r="G24" i="8" s="1"/>
  <c r="E53" i="8"/>
  <c r="F53" i="8" s="1"/>
  <c r="G53" i="8" s="1"/>
  <c r="E41" i="8"/>
  <c r="F41" i="8" s="1"/>
  <c r="G41" i="8" s="1"/>
  <c r="P318" i="10"/>
  <c r="E107" i="8"/>
  <c r="F107" i="8" s="1"/>
  <c r="G107" i="8" s="1"/>
  <c r="E42" i="8"/>
  <c r="F42" i="8" s="1"/>
  <c r="G42" i="8" s="1"/>
  <c r="E81" i="8"/>
  <c r="F81" i="8" s="1"/>
  <c r="G81" i="8" s="1"/>
  <c r="E146" i="8"/>
  <c r="F146" i="8" s="1"/>
  <c r="G146" i="8" s="1"/>
  <c r="E116" i="8"/>
  <c r="F116" i="8" s="1"/>
  <c r="G116" i="8" s="1"/>
  <c r="E68" i="8"/>
  <c r="F68" i="8" s="1"/>
  <c r="G68" i="8" s="1"/>
  <c r="E71" i="8"/>
  <c r="F71" i="8" s="1"/>
  <c r="G71" i="8" s="1"/>
  <c r="S269" i="10"/>
  <c r="P269" i="10"/>
  <c r="E32" i="8"/>
  <c r="F32" i="8" s="1"/>
  <c r="G32" i="8" s="1"/>
  <c r="H22" i="1"/>
  <c r="E60" i="8"/>
  <c r="F60" i="8" s="1"/>
  <c r="G60" i="8" s="1"/>
  <c r="H6" i="1"/>
  <c r="E75" i="8"/>
  <c r="F75" i="8" s="1"/>
  <c r="G75" i="8" s="1"/>
  <c r="Q318" i="10"/>
  <c r="E99" i="8"/>
  <c r="F99" i="8" s="1"/>
  <c r="G99" i="8" s="1"/>
  <c r="E122" i="8"/>
  <c r="F122" i="8" s="1"/>
  <c r="G122" i="8" s="1"/>
  <c r="H15" i="1"/>
  <c r="E43" i="8"/>
  <c r="F43" i="8" s="1"/>
  <c r="G43" i="8" s="1"/>
  <c r="E139" i="8"/>
  <c r="F139" i="8" s="1"/>
  <c r="G139" i="8" s="1"/>
  <c r="H2" i="1"/>
  <c r="E58" i="8"/>
  <c r="F58" i="8" s="1"/>
  <c r="G58" i="8" s="1"/>
  <c r="E105" i="8"/>
  <c r="F105" i="8" s="1"/>
  <c r="G105" i="8" s="1"/>
  <c r="E77" i="8"/>
  <c r="F77" i="8" s="1"/>
  <c r="G77" i="8" s="1"/>
  <c r="E62" i="8"/>
  <c r="F62" i="8" s="1"/>
  <c r="G62" i="8" s="1"/>
  <c r="R208" i="10"/>
  <c r="E149" i="8"/>
  <c r="F149" i="8" s="1"/>
  <c r="G149" i="8" s="1"/>
  <c r="E120" i="8"/>
  <c r="F120" i="8" s="1"/>
  <c r="G120" i="8" s="1"/>
  <c r="E138" i="8"/>
  <c r="F138" i="8" s="1"/>
  <c r="G138" i="8" s="1"/>
  <c r="Q125" i="10"/>
  <c r="E38" i="8"/>
  <c r="F38" i="8" s="1"/>
  <c r="G38" i="8" s="1"/>
  <c r="R157" i="10"/>
  <c r="E148" i="8"/>
  <c r="F148" i="8" s="1"/>
  <c r="G148" i="8" s="1"/>
  <c r="H18" i="1"/>
  <c r="Q213" i="10"/>
  <c r="Q371" i="10"/>
  <c r="E33" i="8"/>
  <c r="F33" i="8" s="1"/>
  <c r="G33" i="8" s="1"/>
  <c r="E44" i="8"/>
  <c r="F44" i="8" s="1"/>
  <c r="G44" i="8" s="1"/>
  <c r="Q310" i="10"/>
  <c r="E7" i="8"/>
  <c r="F7" i="8" s="1"/>
  <c r="G7" i="8" s="1"/>
  <c r="E9" i="8"/>
  <c r="F9" i="8" s="1"/>
  <c r="G9" i="8" s="1"/>
  <c r="E79" i="8"/>
  <c r="F79" i="8" s="1"/>
  <c r="G79" i="8" s="1"/>
  <c r="E15" i="8"/>
  <c r="F15" i="8" s="1"/>
  <c r="G15" i="8" s="1"/>
  <c r="E39" i="8"/>
  <c r="F39" i="8" s="1"/>
  <c r="G39" i="8" s="1"/>
  <c r="Q56" i="10"/>
  <c r="E89" i="8"/>
  <c r="F89" i="8" s="1"/>
  <c r="G89" i="8" s="1"/>
  <c r="E66" i="8"/>
  <c r="F66" i="8" s="1"/>
  <c r="G66" i="8" s="1"/>
  <c r="E87" i="8"/>
  <c r="F87" i="8" s="1"/>
  <c r="G87" i="8" s="1"/>
  <c r="E61" i="8"/>
  <c r="F61" i="8" s="1"/>
  <c r="G61" i="8" s="1"/>
  <c r="E96" i="8"/>
  <c r="F96" i="8" s="1"/>
  <c r="G96" i="8" s="1"/>
  <c r="E76" i="8"/>
  <c r="F76" i="8" s="1"/>
  <c r="G76" i="8" s="1"/>
  <c r="F10" i="7"/>
  <c r="F12" i="7"/>
  <c r="E101" i="8"/>
  <c r="F101" i="8" s="1"/>
  <c r="G101" i="8" s="1"/>
  <c r="E92" i="8"/>
  <c r="F92" i="8" s="1"/>
  <c r="G92" i="8" s="1"/>
  <c r="P256" i="10"/>
  <c r="S256" i="10"/>
  <c r="E59" i="8"/>
  <c r="F59" i="8" s="1"/>
  <c r="G59" i="8" s="1"/>
  <c r="E12" i="8"/>
  <c r="F12" i="8" s="1"/>
  <c r="G12" i="8" s="1"/>
  <c r="R56" i="10"/>
  <c r="Q352" i="10"/>
  <c r="E31" i="8"/>
  <c r="F31" i="8" s="1"/>
  <c r="G31" i="8" s="1"/>
  <c r="E52" i="8"/>
  <c r="F52" i="8" s="1"/>
  <c r="G52" i="8" s="1"/>
  <c r="R225" i="10"/>
  <c r="P213" i="10"/>
  <c r="H13" i="1"/>
  <c r="E119" i="8"/>
  <c r="F119" i="8" s="1"/>
  <c r="G119" i="8" s="1"/>
  <c r="E22" i="8"/>
  <c r="F22" i="8" s="1"/>
  <c r="G22" i="8" s="1"/>
  <c r="E134" i="8"/>
  <c r="F134" i="8" s="1"/>
  <c r="G134" i="8" s="1"/>
  <c r="E86" i="8"/>
  <c r="F86" i="8" s="1"/>
  <c r="G86" i="8" s="1"/>
  <c r="H25" i="1"/>
  <c r="P334" i="10"/>
  <c r="E104" i="8"/>
  <c r="F104" i="8" s="1"/>
  <c r="G104" i="8" s="1"/>
  <c r="E85" i="8"/>
  <c r="F85" i="8" s="1"/>
  <c r="G85" i="8" s="1"/>
  <c r="E20" i="8"/>
  <c r="F20" i="8" s="1"/>
  <c r="G20" i="8" s="1"/>
  <c r="E25" i="8"/>
  <c r="F25" i="8" s="1"/>
  <c r="G25" i="8" s="1"/>
  <c r="Q204" i="10"/>
  <c r="R310" i="10"/>
  <c r="E67" i="8"/>
  <c r="F67" i="8" s="1"/>
  <c r="G67" i="8" s="1"/>
  <c r="H9" i="1"/>
  <c r="R251" i="10"/>
  <c r="E115" i="8"/>
  <c r="F115" i="8" s="1"/>
  <c r="G115" i="8" s="1"/>
  <c r="P274" i="10"/>
  <c r="P325" i="10"/>
  <c r="S325" i="10"/>
  <c r="E108" i="8"/>
  <c r="F108" i="8" s="1"/>
  <c r="G108" i="8" s="1"/>
  <c r="H17" i="1"/>
  <c r="E17" i="8"/>
  <c r="F17" i="8" s="1"/>
  <c r="G17" i="8" s="1"/>
  <c r="R325" i="10"/>
  <c r="E27" i="8"/>
  <c r="F27" i="8" s="1"/>
  <c r="G27" i="8" s="1"/>
  <c r="E128" i="8"/>
  <c r="F128" i="8" s="1"/>
  <c r="G128" i="8" s="1"/>
  <c r="H20" i="1"/>
  <c r="E11" i="8"/>
  <c r="F11" i="8" s="1"/>
  <c r="G11" i="8" s="1"/>
  <c r="H12" i="1"/>
  <c r="H24" i="1"/>
  <c r="E8" i="8"/>
  <c r="F8" i="8" s="1"/>
  <c r="G8" i="8" s="1"/>
  <c r="I5" i="8"/>
  <c r="E5" i="8"/>
  <c r="F5" i="8" s="1"/>
  <c r="G5" i="8" s="1"/>
  <c r="H5" i="8" s="1"/>
  <c r="K5" i="8" s="1"/>
  <c r="E133" i="8"/>
  <c r="F133" i="8" s="1"/>
  <c r="G133" i="8" s="1"/>
  <c r="E93" i="8"/>
  <c r="F93" i="8" s="1"/>
  <c r="G93" i="8" s="1"/>
  <c r="E23" i="8"/>
  <c r="F23" i="8" s="1"/>
  <c r="G23" i="8" s="1"/>
  <c r="E70" i="8"/>
  <c r="F70" i="8" s="1"/>
  <c r="G70" i="8" s="1"/>
  <c r="E57" i="8"/>
  <c r="F57" i="8" s="1"/>
  <c r="G57" i="8" s="1"/>
  <c r="R352" i="10"/>
  <c r="G11" i="7"/>
  <c r="G4" i="7"/>
  <c r="G8" i="7"/>
  <c r="G12" i="7"/>
  <c r="G9" i="7"/>
  <c r="G10" i="7"/>
  <c r="E114" i="8"/>
  <c r="F114" i="8" s="1"/>
  <c r="G114" i="8" s="1"/>
  <c r="E137" i="8"/>
  <c r="F137" i="8" s="1"/>
  <c r="G137" i="8" s="1"/>
  <c r="R318" i="10"/>
  <c r="E73" i="8"/>
  <c r="F73" i="8" s="1"/>
  <c r="G73" i="8" s="1"/>
  <c r="E49" i="8"/>
  <c r="F49" i="8" s="1"/>
  <c r="G49" i="8" s="1"/>
  <c r="H14" i="1"/>
  <c r="P14" i="10"/>
  <c r="E98" i="8"/>
  <c r="F98" i="8" s="1"/>
  <c r="G98" i="8" s="1"/>
  <c r="E6" i="8"/>
  <c r="F6" i="8" s="1"/>
  <c r="G6" i="8" s="1"/>
  <c r="Q334" i="10"/>
  <c r="Q97" i="10"/>
  <c r="H19" i="1"/>
  <c r="H5" i="1"/>
  <c r="E141" i="8"/>
  <c r="F141" i="8" s="1"/>
  <c r="G141" i="8" s="1"/>
  <c r="E56" i="8"/>
  <c r="F56" i="8" s="1"/>
  <c r="G56" i="8" s="1"/>
  <c r="E124" i="8"/>
  <c r="F124" i="8" s="1"/>
  <c r="G124" i="8" s="1"/>
  <c r="E147" i="8"/>
  <c r="F147" i="8" s="1"/>
  <c r="G147" i="8" s="1"/>
  <c r="P267" i="10"/>
  <c r="Q40" i="10"/>
  <c r="E45" i="8"/>
  <c r="F45" i="8" s="1"/>
  <c r="G45" i="8" s="1"/>
  <c r="E80" i="8"/>
  <c r="F80" i="8" s="1"/>
  <c r="G80" i="8" s="1"/>
  <c r="Q71" i="10"/>
  <c r="E78" i="8"/>
  <c r="F78" i="8" s="1"/>
  <c r="G78" i="8" s="1"/>
  <c r="S228" i="10"/>
  <c r="E14" i="8"/>
  <c r="F14" i="8" s="1"/>
  <c r="G14" i="8" s="1"/>
  <c r="E140" i="8"/>
  <c r="F140" i="8" s="1"/>
  <c r="G140" i="8" s="1"/>
  <c r="H7" i="1"/>
  <c r="E28" i="8"/>
  <c r="F28" i="8" s="1"/>
  <c r="G28" i="8" s="1"/>
  <c r="E50" i="8"/>
  <c r="F50" i="8" s="1"/>
  <c r="G50" i="8" s="1"/>
  <c r="E16" i="8"/>
  <c r="F16" i="8" s="1"/>
  <c r="G16" i="8" s="1"/>
  <c r="E83" i="8"/>
  <c r="F83" i="8" s="1"/>
  <c r="G83" i="8" s="1"/>
  <c r="E106" i="8"/>
  <c r="F106" i="8" s="1"/>
  <c r="G106" i="8" s="1"/>
  <c r="S251" i="10"/>
  <c r="P251" i="10"/>
  <c r="T251" i="10" s="1"/>
  <c r="Q167" i="10"/>
  <c r="E123" i="8"/>
  <c r="F123" i="8" s="1"/>
  <c r="G123" i="8" s="1"/>
  <c r="E100" i="8"/>
  <c r="F100" i="8" s="1"/>
  <c r="G100" i="8" s="1"/>
  <c r="Q254" i="10"/>
  <c r="E131" i="8"/>
  <c r="F131" i="8" s="1"/>
  <c r="G131" i="8" s="1"/>
  <c r="E135" i="8"/>
  <c r="F135" i="8" s="1"/>
  <c r="G135" i="8" s="1"/>
  <c r="E103" i="8"/>
  <c r="F103" i="8" s="1"/>
  <c r="G103" i="8" s="1"/>
  <c r="E34" i="8"/>
  <c r="F34" i="8" s="1"/>
  <c r="G34" i="8" s="1"/>
  <c r="Q140" i="10"/>
  <c r="T140" i="10" s="1"/>
  <c r="U140" i="10" s="1"/>
  <c r="X140" i="10" s="1"/>
  <c r="E95" i="8"/>
  <c r="F95" i="8" s="1"/>
  <c r="G95" i="8" s="1"/>
  <c r="Q251" i="10"/>
  <c r="P310" i="10"/>
  <c r="S310" i="10"/>
  <c r="H28" i="1"/>
  <c r="Q187" i="10"/>
  <c r="E118" i="8"/>
  <c r="F118" i="8" s="1"/>
  <c r="G118" i="8" s="1"/>
  <c r="E102" i="8"/>
  <c r="F102" i="8" s="1"/>
  <c r="G102" i="8" s="1"/>
  <c r="E82" i="8"/>
  <c r="F82" i="8" s="1"/>
  <c r="G82" i="8" s="1"/>
  <c r="E88" i="8"/>
  <c r="F88" i="8" s="1"/>
  <c r="G88" i="8" s="1"/>
  <c r="H11" i="1"/>
  <c r="S283" i="10"/>
  <c r="P283" i="10"/>
  <c r="E127" i="8"/>
  <c r="F127" i="8" s="1"/>
  <c r="G127" i="8" s="1"/>
  <c r="H27" i="1"/>
  <c r="E113" i="8"/>
  <c r="F113" i="8" s="1"/>
  <c r="G113" i="8" s="1"/>
  <c r="P112" i="10"/>
  <c r="Q222" i="10"/>
  <c r="H8" i="1"/>
  <c r="L11" i="7"/>
  <c r="L9" i="7"/>
  <c r="L12" i="7"/>
  <c r="L8" i="7"/>
  <c r="L10" i="7"/>
  <c r="H4" i="1"/>
  <c r="H23" i="1"/>
  <c r="H10" i="1"/>
  <c r="Q283" i="10"/>
  <c r="T283" i="10" s="1"/>
  <c r="V283" i="10" s="1"/>
  <c r="W283" i="10" s="1"/>
  <c r="Q325" i="10"/>
  <c r="H26" i="1"/>
  <c r="E84" i="8"/>
  <c r="F84" i="8" s="1"/>
  <c r="G84" i="8" s="1"/>
  <c r="Q183" i="10"/>
  <c r="E142" i="8"/>
  <c r="F142" i="8" s="1"/>
  <c r="G142" i="8" s="1"/>
  <c r="E40" i="8"/>
  <c r="F40" i="8" s="1"/>
  <c r="G40" i="8" s="1"/>
  <c r="E30" i="8"/>
  <c r="F30" i="8" s="1"/>
  <c r="G30" i="8" s="1"/>
  <c r="P228" i="10"/>
  <c r="E37" i="8"/>
  <c r="F37" i="8" s="1"/>
  <c r="G37" i="8" s="1"/>
  <c r="E46" i="8"/>
  <c r="F46" i="8" s="1"/>
  <c r="G46" i="8" s="1"/>
  <c r="H21" i="1"/>
  <c r="E110" i="8"/>
  <c r="F110" i="8" s="1"/>
  <c r="G110" i="8" s="1"/>
  <c r="Q208" i="10"/>
  <c r="H3" i="1"/>
  <c r="E90" i="8"/>
  <c r="F90" i="8" s="1"/>
  <c r="G90" i="8" s="1"/>
  <c r="E74" i="8"/>
  <c r="F74" i="8" s="1"/>
  <c r="G74" i="8" s="1"/>
  <c r="E35" i="8"/>
  <c r="F35" i="8" s="1"/>
  <c r="G35" i="8" s="1"/>
  <c r="E129" i="8"/>
  <c r="F129" i="8" s="1"/>
  <c r="G129" i="8" s="1"/>
  <c r="E151" i="8"/>
  <c r="F151" i="8" s="1"/>
  <c r="G151" i="8" s="1"/>
  <c r="E126" i="8"/>
  <c r="F126" i="8" s="1"/>
  <c r="G126" i="8" s="1"/>
  <c r="E55" i="8"/>
  <c r="F55" i="8" s="1"/>
  <c r="G55" i="8" s="1"/>
  <c r="R189" i="10"/>
  <c r="E47" i="8"/>
  <c r="F47" i="8" s="1"/>
  <c r="G47" i="8" s="1"/>
  <c r="R204" i="10"/>
  <c r="E18" i="8"/>
  <c r="F18" i="8" s="1"/>
  <c r="G18" i="8" s="1"/>
  <c r="H16" i="1"/>
  <c r="E109" i="8"/>
  <c r="F109" i="8" s="1"/>
  <c r="G109" i="8" s="1"/>
  <c r="E21" i="8"/>
  <c r="F21" i="8" s="1"/>
  <c r="G21" i="8" s="1"/>
  <c r="P352" i="10"/>
  <c r="E54" i="8"/>
  <c r="F54" i="8" s="1"/>
  <c r="G54" i="8" s="1"/>
  <c r="E72" i="8"/>
  <c r="F72" i="8" s="1"/>
  <c r="G72" i="8" s="1"/>
  <c r="Q200" i="10"/>
  <c r="E150" i="8"/>
  <c r="F150" i="8" s="1"/>
  <c r="G150" i="8" s="1"/>
  <c r="E19" i="8"/>
  <c r="F19" i="8" s="1"/>
  <c r="G19" i="8" s="1"/>
  <c r="E112" i="8"/>
  <c r="F112" i="8" s="1"/>
  <c r="G112" i="8" s="1"/>
  <c r="E13" i="8"/>
  <c r="F13" i="8" s="1"/>
  <c r="G13" i="8" s="1"/>
  <c r="P407" i="10"/>
  <c r="E125" i="8"/>
  <c r="F125" i="8" s="1"/>
  <c r="G125" i="8" s="1"/>
  <c r="R254" i="10"/>
  <c r="E111" i="8"/>
  <c r="F111" i="8" s="1"/>
  <c r="G111" i="8" s="1"/>
  <c r="E65" i="8"/>
  <c r="F65" i="8" s="1"/>
  <c r="G65" i="8" s="1"/>
  <c r="E117" i="8"/>
  <c r="F117" i="8" s="1"/>
  <c r="G117" i="8" s="1"/>
  <c r="E94" i="8"/>
  <c r="F94" i="8" s="1"/>
  <c r="G94" i="8" s="1"/>
  <c r="E36" i="8"/>
  <c r="F36" i="8" s="1"/>
  <c r="G36" i="8" s="1"/>
  <c r="E144" i="8"/>
  <c r="F144" i="8" s="1"/>
  <c r="G144" i="8" s="1"/>
  <c r="P254" i="10"/>
  <c r="Q14" i="10"/>
  <c r="AB391" i="10"/>
  <c r="AD52" i="10"/>
  <c r="AC52" i="10"/>
  <c r="AC365" i="10"/>
  <c r="AD365" i="10"/>
  <c r="AD133" i="10"/>
  <c r="AC133" i="10"/>
  <c r="AC197" i="10"/>
  <c r="AD197" i="10"/>
  <c r="AA297" i="10"/>
  <c r="AB297" i="10"/>
  <c r="AD144" i="10"/>
  <c r="AC144" i="10"/>
  <c r="AC402" i="10"/>
  <c r="AD402" i="10"/>
  <c r="AB169" i="10"/>
  <c r="AA169" i="10"/>
  <c r="AC399" i="10"/>
  <c r="AD399" i="10"/>
  <c r="AB345" i="10"/>
  <c r="AA345" i="10"/>
  <c r="AA119" i="10"/>
  <c r="AB119" i="10"/>
  <c r="AD211" i="10"/>
  <c r="AC211" i="10"/>
  <c r="AB389" i="10"/>
  <c r="AA389" i="10"/>
  <c r="AD74" i="10"/>
  <c r="AC74" i="10"/>
  <c r="AC87" i="10"/>
  <c r="AD87" i="10"/>
  <c r="AC162" i="10"/>
  <c r="AD162" i="10"/>
  <c r="AC227" i="10"/>
  <c r="AD227" i="10"/>
  <c r="AA146" i="10"/>
  <c r="AB146" i="10"/>
  <c r="AA365" i="10"/>
  <c r="AB365" i="10"/>
  <c r="AB106" i="10"/>
  <c r="AA106" i="10"/>
  <c r="AB341" i="10"/>
  <c r="AD36" i="10"/>
  <c r="AB60" i="10"/>
  <c r="AA60" i="10"/>
  <c r="AA38" i="10"/>
  <c r="AB38" i="10"/>
  <c r="AD98" i="10"/>
  <c r="AC98" i="10"/>
  <c r="AB215" i="10"/>
  <c r="AA215" i="10"/>
  <c r="AC248" i="10"/>
  <c r="AD248" i="10"/>
  <c r="AA18" i="10"/>
  <c r="AB18" i="10"/>
  <c r="AB265" i="10"/>
  <c r="AA265" i="10"/>
  <c r="AC188" i="10"/>
  <c r="AC216" i="10"/>
  <c r="AD216" i="10"/>
  <c r="AD368" i="10"/>
  <c r="AA384" i="10"/>
  <c r="AA42" i="10"/>
  <c r="AB42" i="10"/>
  <c r="AC337" i="10"/>
  <c r="AD337" i="10"/>
  <c r="AD242" i="10"/>
  <c r="AC242" i="10"/>
  <c r="AA312" i="10"/>
  <c r="AB312" i="10"/>
  <c r="AC4" i="10"/>
  <c r="AC116" i="10"/>
  <c r="AD116" i="10"/>
  <c r="AD179" i="10"/>
  <c r="AC179" i="10"/>
  <c r="AD194" i="10"/>
  <c r="AC194" i="10"/>
  <c r="AB65" i="10"/>
  <c r="AA65" i="10"/>
  <c r="AD221" i="10"/>
  <c r="AC199" i="10"/>
  <c r="AD238" i="10"/>
  <c r="AC238" i="10"/>
  <c r="AA412" i="10"/>
  <c r="AB412" i="10"/>
  <c r="AC119" i="10"/>
  <c r="AD119" i="10"/>
  <c r="AA63" i="10"/>
  <c r="AB63" i="10"/>
  <c r="AC6" i="10"/>
  <c r="AB419" i="10"/>
  <c r="AC210" i="10"/>
  <c r="AD210" i="10"/>
  <c r="AD380" i="10"/>
  <c r="AC380" i="10"/>
  <c r="AA132" i="10"/>
  <c r="AB132" i="10"/>
  <c r="AB357" i="10"/>
  <c r="AA357" i="10"/>
  <c r="AC111" i="10"/>
  <c r="AD111" i="10"/>
  <c r="AD259" i="10"/>
  <c r="AC259" i="10"/>
  <c r="AA396" i="10"/>
  <c r="AB396" i="10"/>
  <c r="AC348" i="10"/>
  <c r="AD348" i="10"/>
  <c r="AA388" i="10"/>
  <c r="AB388" i="10"/>
  <c r="AA185" i="10"/>
  <c r="AC408" i="10"/>
  <c r="AB29" i="10"/>
  <c r="AD387" i="10"/>
  <c r="AB415" i="10"/>
  <c r="AA415" i="10"/>
  <c r="AA420" i="10"/>
  <c r="AB420" i="10"/>
  <c r="AC374" i="10"/>
  <c r="AD374" i="10"/>
  <c r="AC244" i="10"/>
  <c r="AD376" i="10"/>
  <c r="AA332" i="10"/>
  <c r="AB332" i="10"/>
  <c r="AB27" i="10"/>
  <c r="AA27" i="10"/>
  <c r="AB266" i="10"/>
  <c r="AA266" i="10"/>
  <c r="AA66" i="10"/>
  <c r="AC93" i="10"/>
  <c r="AC266" i="10"/>
  <c r="AD266" i="10"/>
  <c r="AB195" i="10"/>
  <c r="AA195" i="10"/>
  <c r="AC303" i="10"/>
  <c r="AD303" i="10"/>
  <c r="AB207" i="10"/>
  <c r="AC223" i="10"/>
  <c r="AD223" i="10"/>
  <c r="AC287" i="10"/>
  <c r="AD287" i="10"/>
  <c r="AD413" i="10"/>
  <c r="AC413" i="10"/>
  <c r="AB273" i="10"/>
  <c r="AA273" i="10"/>
  <c r="AD289" i="10"/>
  <c r="AC289" i="10"/>
  <c r="AA6" i="10"/>
  <c r="AB6" i="10"/>
  <c r="AB70" i="10"/>
  <c r="AA70" i="10"/>
  <c r="AC44" i="10"/>
  <c r="AD44" i="10"/>
  <c r="AB398" i="10"/>
  <c r="AA398" i="10"/>
  <c r="AA422" i="10"/>
  <c r="AB422" i="10"/>
  <c r="AC23" i="10"/>
  <c r="AD23" i="10"/>
  <c r="AB28" i="10"/>
  <c r="AA28" i="10"/>
  <c r="AD21" i="10"/>
  <c r="AB173" i="10"/>
  <c r="AA173" i="10"/>
  <c r="AC160" i="10"/>
  <c r="AD160" i="10"/>
  <c r="AB399" i="10"/>
  <c r="AA399" i="10"/>
  <c r="AB340" i="10"/>
  <c r="AA340" i="10"/>
  <c r="AA36" i="10"/>
  <c r="AB36" i="10"/>
  <c r="AA237" i="10"/>
  <c r="AB237" i="10"/>
  <c r="AA177" i="10"/>
  <c r="AA381" i="10"/>
  <c r="AB381" i="10"/>
  <c r="AB10" i="10"/>
  <c r="AA10" i="10"/>
  <c r="AA199" i="10"/>
  <c r="AB199" i="10"/>
  <c r="AB25" i="10"/>
  <c r="AA25" i="10"/>
  <c r="AC63" i="10"/>
  <c r="AD63" i="10"/>
  <c r="AA360" i="10"/>
  <c r="AD360" i="10"/>
  <c r="AC360" i="10"/>
  <c r="AB229" i="10"/>
  <c r="AA229" i="10"/>
  <c r="AB145" i="10"/>
  <c r="AA145" i="10"/>
  <c r="AA188" i="10"/>
  <c r="AC324" i="10"/>
  <c r="AA88" i="10"/>
  <c r="AC249" i="10"/>
  <c r="AA80" i="10"/>
  <c r="AD381" i="10"/>
  <c r="AD109" i="10"/>
  <c r="AD163" i="10"/>
  <c r="AD137" i="10"/>
  <c r="AC406" i="10"/>
  <c r="AA197" i="10"/>
  <c r="AC316" i="10"/>
  <c r="AB144" i="10"/>
  <c r="AD172" i="10"/>
  <c r="AB405" i="10"/>
  <c r="S267" i="10"/>
  <c r="Q267" i="10"/>
  <c r="R267" i="10"/>
  <c r="R112" i="10"/>
  <c r="Q112" i="10"/>
  <c r="R125" i="10"/>
  <c r="P152" i="10"/>
  <c r="R152" i="10"/>
  <c r="S12" i="10"/>
  <c r="P12" i="10"/>
  <c r="T254" i="10"/>
  <c r="R280" i="10"/>
  <c r="S280" i="10"/>
  <c r="P280" i="10"/>
  <c r="S200" i="10"/>
  <c r="P200" i="10"/>
  <c r="R200" i="10"/>
  <c r="R228" i="10"/>
  <c r="Q228" i="10"/>
  <c r="S274" i="10"/>
  <c r="R274" i="10"/>
  <c r="Q274" i="10"/>
  <c r="Q386" i="10"/>
  <c r="R183" i="10"/>
  <c r="S183" i="10"/>
  <c r="S318" i="10"/>
  <c r="R97" i="10"/>
  <c r="P97" i="10"/>
  <c r="Q225" i="10"/>
  <c r="R386" i="10"/>
  <c r="S386" i="10"/>
  <c r="P386" i="10"/>
  <c r="S231" i="10"/>
  <c r="R231" i="10"/>
  <c r="T256" i="10"/>
  <c r="V256" i="10" s="1"/>
  <c r="W256" i="10" s="1"/>
  <c r="R234" i="10"/>
  <c r="S234" i="10"/>
  <c r="R187" i="10"/>
  <c r="P371" i="10"/>
  <c r="S371" i="10"/>
  <c r="P40" i="10"/>
  <c r="S40" i="10"/>
  <c r="R40" i="10"/>
  <c r="S346" i="10"/>
  <c r="R346" i="10"/>
  <c r="Q346" i="10"/>
  <c r="Q260" i="10"/>
  <c r="S260" i="10"/>
  <c r="P231" i="10"/>
  <c r="S97" i="10"/>
  <c r="S125" i="10"/>
  <c r="P125" i="10"/>
  <c r="P187" i="10"/>
  <c r="S187" i="10"/>
  <c r="Q299" i="10"/>
  <c r="S299" i="10"/>
  <c r="R409" i="10"/>
  <c r="S409" i="10"/>
  <c r="S71" i="10"/>
  <c r="P71" i="10"/>
  <c r="R71" i="10"/>
  <c r="P167" i="10"/>
  <c r="S167" i="10"/>
  <c r="Q407" i="10"/>
  <c r="R407" i="10"/>
  <c r="R12" i="10"/>
  <c r="P234" i="10"/>
  <c r="Q280" i="10"/>
  <c r="T325" i="10"/>
  <c r="V325" i="10" s="1"/>
  <c r="W325" i="10" s="1"/>
  <c r="S140" i="10"/>
  <c r="R260" i="10"/>
  <c r="R299" i="10"/>
  <c r="P299" i="10"/>
  <c r="P208" i="10"/>
  <c r="S208" i="10"/>
  <c r="F9" i="7"/>
  <c r="F8" i="7"/>
  <c r="F11" i="7"/>
  <c r="F4" i="7"/>
  <c r="I9" i="7" s="1"/>
  <c r="R167" i="10"/>
  <c r="R140" i="10"/>
  <c r="R217" i="10"/>
  <c r="S217" i="10"/>
  <c r="Q189" i="10"/>
  <c r="S189" i="10"/>
  <c r="P183" i="10"/>
  <c r="S56" i="10"/>
  <c r="P56" i="10"/>
  <c r="R222" i="10"/>
  <c r="S222" i="10"/>
  <c r="P222" i="10"/>
  <c r="Q152" i="10"/>
  <c r="R334" i="10"/>
  <c r="S334" i="10"/>
  <c r="P225" i="10"/>
  <c r="S225" i="10"/>
  <c r="S152" i="10"/>
  <c r="T217" i="10"/>
  <c r="S407" i="10"/>
  <c r="R256" i="10"/>
  <c r="S254" i="10"/>
  <c r="Q231" i="10"/>
  <c r="P409" i="10"/>
  <c r="R288" i="10"/>
  <c r="T407" i="10"/>
  <c r="Q288" i="10"/>
  <c r="S288" i="10"/>
  <c r="T204" i="10"/>
  <c r="U204" i="10" s="1"/>
  <c r="X204" i="10" s="1"/>
  <c r="P346" i="10"/>
  <c r="S352" i="10"/>
  <c r="S213" i="10"/>
  <c r="R213" i="10"/>
  <c r="R371" i="10"/>
  <c r="S14" i="10"/>
  <c r="R14" i="10"/>
  <c r="Q269" i="10"/>
  <c r="R269" i="10"/>
  <c r="S112" i="10"/>
  <c r="T352" i="10"/>
  <c r="R20" i="5"/>
  <c r="R18" i="5"/>
  <c r="R17" i="5"/>
  <c r="R14" i="5"/>
  <c r="R12" i="5"/>
  <c r="R11" i="5"/>
  <c r="AF422" i="10"/>
  <c r="AE422" i="10"/>
  <c r="AF398" i="10"/>
  <c r="AE398" i="10"/>
  <c r="AE388" i="10"/>
  <c r="AF388" i="10"/>
  <c r="AE175" i="10"/>
  <c r="AF175" i="10"/>
  <c r="K6" i="9"/>
  <c r="J12" i="9"/>
  <c r="I9" i="9"/>
  <c r="K9" i="9"/>
  <c r="J4" i="9"/>
  <c r="I4" i="9"/>
  <c r="H4" i="9"/>
  <c r="H12" i="9"/>
  <c r="H9" i="9"/>
  <c r="J7" i="9"/>
  <c r="I7" i="9"/>
  <c r="I12" i="9"/>
  <c r="H7" i="9"/>
  <c r="V254" i="10" l="1"/>
  <c r="W254" i="10" s="1"/>
  <c r="T112" i="10"/>
  <c r="V112" i="10" s="1"/>
  <c r="W112" i="10" s="1"/>
  <c r="V140" i="10"/>
  <c r="W140" i="10" s="1"/>
  <c r="V217" i="10"/>
  <c r="W217" i="10" s="1"/>
  <c r="U222" i="10"/>
  <c r="X222" i="10" s="1"/>
  <c r="T14" i="10"/>
  <c r="V14" i="10"/>
  <c r="W14" i="10" s="1"/>
  <c r="U352" i="10"/>
  <c r="X352" i="10" s="1"/>
  <c r="T310" i="10"/>
  <c r="U310" i="10" s="1"/>
  <c r="X310" i="10" s="1"/>
  <c r="U251" i="10"/>
  <c r="X251" i="10" s="1"/>
  <c r="U407" i="10"/>
  <c r="X407" i="10" s="1"/>
  <c r="V352" i="10"/>
  <c r="W352" i="10" s="1"/>
  <c r="U325" i="10"/>
  <c r="X325" i="10" s="1"/>
  <c r="V204" i="10"/>
  <c r="W204" i="10" s="1"/>
  <c r="U283" i="10"/>
  <c r="X283" i="10" s="1"/>
  <c r="T267" i="10"/>
  <c r="V267" i="10" s="1"/>
  <c r="W267" i="10" s="1"/>
  <c r="U267" i="10"/>
  <c r="X267" i="10" s="1"/>
  <c r="I6" i="8"/>
  <c r="J5" i="8"/>
  <c r="U217" i="10"/>
  <c r="X217" i="10" s="1"/>
  <c r="U256" i="10"/>
  <c r="X256" i="10" s="1"/>
  <c r="V251" i="10"/>
  <c r="W251" i="10" s="1"/>
  <c r="J9" i="7"/>
  <c r="N9" i="7" s="1"/>
  <c r="U288" i="10"/>
  <c r="X288" i="10" s="1"/>
  <c r="T157" i="10"/>
  <c r="U157" i="10" s="1"/>
  <c r="X157" i="10" s="1"/>
  <c r="T318" i="10"/>
  <c r="V318" i="10" s="1"/>
  <c r="W318" i="10" s="1"/>
  <c r="U97" i="10"/>
  <c r="X97" i="10" s="1"/>
  <c r="T213" i="10"/>
  <c r="V213" i="10" s="1"/>
  <c r="W213" i="10" s="1"/>
  <c r="I11" i="7"/>
  <c r="V407" i="10"/>
  <c r="W407" i="10" s="1"/>
  <c r="U254" i="10"/>
  <c r="X254" i="10" s="1"/>
  <c r="T334" i="10"/>
  <c r="U334" i="10" s="1"/>
  <c r="X334" i="10" s="1"/>
  <c r="U14" i="10"/>
  <c r="X14" i="10" s="1"/>
  <c r="J10" i="7"/>
  <c r="N10" i="7" s="1"/>
  <c r="U112" i="10"/>
  <c r="X112" i="10" s="1"/>
  <c r="H6" i="8"/>
  <c r="T208" i="10"/>
  <c r="U208" i="10" s="1"/>
  <c r="X208" i="10" s="1"/>
  <c r="V208" i="10"/>
  <c r="W208" i="10" s="1"/>
  <c r="T97" i="10"/>
  <c r="V97" i="10"/>
  <c r="W97" i="10" s="1"/>
  <c r="U189" i="10"/>
  <c r="X189" i="10" s="1"/>
  <c r="T189" i="10"/>
  <c r="V189" i="10" s="1"/>
  <c r="W189" i="10" s="1"/>
  <c r="T288" i="10"/>
  <c r="V288" i="10" s="1"/>
  <c r="W288" i="10" s="1"/>
  <c r="T225" i="10"/>
  <c r="U225" i="10" s="1"/>
  <c r="X225" i="10" s="1"/>
  <c r="T200" i="10"/>
  <c r="V200" i="10" s="1"/>
  <c r="W200" i="10" s="1"/>
  <c r="T299" i="10"/>
  <c r="U299" i="10" s="1"/>
  <c r="X299" i="10" s="1"/>
  <c r="T167" i="10"/>
  <c r="U167" i="10" s="1"/>
  <c r="X167" i="10" s="1"/>
  <c r="V167" i="10"/>
  <c r="W167" i="10" s="1"/>
  <c r="T187" i="10"/>
  <c r="V187" i="10" s="1"/>
  <c r="W187" i="10" s="1"/>
  <c r="T274" i="10"/>
  <c r="V274" i="10" s="1"/>
  <c r="W274" i="10" s="1"/>
  <c r="T12" i="10"/>
  <c r="U12" i="10" s="1"/>
  <c r="X12" i="10" s="1"/>
  <c r="T231" i="10"/>
  <c r="V231" i="10" s="1"/>
  <c r="W231" i="10" s="1"/>
  <c r="T222" i="10"/>
  <c r="V222" i="10"/>
  <c r="W222" i="10" s="1"/>
  <c r="T409" i="10"/>
  <c r="V409" i="10" s="1"/>
  <c r="W409" i="10" s="1"/>
  <c r="T56" i="10"/>
  <c r="U56" i="10" s="1"/>
  <c r="X56" i="10" s="1"/>
  <c r="T125" i="10"/>
  <c r="U125" i="10" s="1"/>
  <c r="X125" i="10" s="1"/>
  <c r="V40" i="10"/>
  <c r="W40" i="10" s="1"/>
  <c r="T40" i="10"/>
  <c r="U40" i="10" s="1"/>
  <c r="X40" i="10" s="1"/>
  <c r="T260" i="10"/>
  <c r="V260" i="10" s="1"/>
  <c r="W260" i="10" s="1"/>
  <c r="T269" i="10"/>
  <c r="U269" i="10" s="1"/>
  <c r="X269" i="10" s="1"/>
  <c r="T183" i="10"/>
  <c r="U183" i="10" s="1"/>
  <c r="X183" i="10" s="1"/>
  <c r="T234" i="10"/>
  <c r="V234" i="10" s="1"/>
  <c r="W234" i="10" s="1"/>
  <c r="T371" i="10"/>
  <c r="U371" i="10" s="1"/>
  <c r="X371" i="10" s="1"/>
  <c r="V371" i="10"/>
  <c r="W371" i="10" s="1"/>
  <c r="T228" i="10"/>
  <c r="V228" i="10" s="1"/>
  <c r="W228" i="10" s="1"/>
  <c r="T152" i="10"/>
  <c r="V152" i="10" s="1"/>
  <c r="W152" i="10" s="1"/>
  <c r="T280" i="10"/>
  <c r="U280" i="10" s="1"/>
  <c r="X280" i="10" s="1"/>
  <c r="T346" i="10"/>
  <c r="U346" i="10" s="1"/>
  <c r="X346" i="10" s="1"/>
  <c r="H4" i="7"/>
  <c r="I8" i="7"/>
  <c r="I10" i="7"/>
  <c r="I12" i="7"/>
  <c r="I4" i="7"/>
  <c r="J12" i="7" s="1"/>
  <c r="N12" i="7" s="1"/>
  <c r="H8" i="7"/>
  <c r="H12" i="7"/>
  <c r="H9" i="7"/>
  <c r="H10" i="7"/>
  <c r="H11" i="7"/>
  <c r="T71" i="10"/>
  <c r="U71" i="10" s="1"/>
  <c r="X71" i="10" s="1"/>
  <c r="V71" i="10"/>
  <c r="W71" i="10" s="1"/>
  <c r="T386" i="10"/>
  <c r="U386" i="10" s="1"/>
  <c r="X386" i="10" s="1"/>
  <c r="M11" i="5"/>
  <c r="S11" i="5"/>
  <c r="S12" i="5"/>
  <c r="M12" i="5"/>
  <c r="M14" i="5"/>
  <c r="S14" i="5"/>
  <c r="M17" i="5"/>
  <c r="S17" i="5"/>
  <c r="S18" i="5"/>
  <c r="M18" i="5"/>
  <c r="S20" i="5"/>
  <c r="M20" i="5"/>
  <c r="Z189" i="10"/>
  <c r="Z40" i="10"/>
  <c r="Y222" i="10"/>
  <c r="Z256" i="10"/>
  <c r="Z167" i="10"/>
  <c r="Y208" i="10"/>
  <c r="Y256" i="10"/>
  <c r="Z208" i="10"/>
  <c r="Y251" i="10"/>
  <c r="Y204" i="10"/>
  <c r="Z288" i="10"/>
  <c r="Z217" i="10"/>
  <c r="Y97" i="10"/>
  <c r="Y71" i="10"/>
  <c r="Y167" i="10"/>
  <c r="Z267" i="10"/>
  <c r="Y267" i="10"/>
  <c r="Y288" i="10"/>
  <c r="Z97" i="10"/>
  <c r="Z71" i="10"/>
  <c r="Z112" i="10"/>
  <c r="Y14" i="10"/>
  <c r="Y217" i="10"/>
  <c r="Z140" i="10"/>
  <c r="Y189" i="10"/>
  <c r="Y112" i="10"/>
  <c r="Z251" i="10"/>
  <c r="Z14" i="10"/>
  <c r="Z204" i="10"/>
  <c r="Y325" i="10"/>
  <c r="Z325" i="10"/>
  <c r="Z352" i="10"/>
  <c r="Y140" i="10"/>
  <c r="Y254" i="10"/>
  <c r="Z371" i="10"/>
  <c r="Y283" i="10"/>
  <c r="Y371" i="10"/>
  <c r="Z283" i="10"/>
  <c r="Z222" i="10"/>
  <c r="Z407" i="10"/>
  <c r="Y352" i="10"/>
  <c r="Y407" i="10"/>
  <c r="Y40" i="10"/>
  <c r="Z254" i="10"/>
  <c r="V12" i="10" l="1"/>
  <c r="W12" i="10" s="1"/>
  <c r="U231" i="10"/>
  <c r="X231" i="10" s="1"/>
  <c r="K9" i="7"/>
  <c r="M9" i="7" s="1"/>
  <c r="V157" i="10"/>
  <c r="W157" i="10" s="1"/>
  <c r="J8" i="7"/>
  <c r="N8" i="7" s="1"/>
  <c r="V299" i="10"/>
  <c r="W299" i="10" s="1"/>
  <c r="U187" i="10"/>
  <c r="X187" i="10" s="1"/>
  <c r="V56" i="10"/>
  <c r="W56" i="10" s="1"/>
  <c r="K8" i="7"/>
  <c r="M8" i="7" s="1"/>
  <c r="AC208" i="10"/>
  <c r="AD208" i="10"/>
  <c r="AF208" i="10" s="1"/>
  <c r="AJ208" i="10"/>
  <c r="AI208" i="10"/>
  <c r="AA208" i="10"/>
  <c r="AB208" i="10"/>
  <c r="AE208" i="10" s="1"/>
  <c r="AC71" i="10"/>
  <c r="AD71" i="10"/>
  <c r="AJ71" i="10"/>
  <c r="AA71" i="10"/>
  <c r="AI71" i="10"/>
  <c r="AB71" i="10"/>
  <c r="AB283" i="10"/>
  <c r="AI283" i="10"/>
  <c r="AA283" i="10"/>
  <c r="AE283" i="10" s="1"/>
  <c r="AD283" i="10"/>
  <c r="AJ283" i="10"/>
  <c r="AC283" i="10"/>
  <c r="AB204" i="10"/>
  <c r="AI204" i="10"/>
  <c r="AA204" i="10"/>
  <c r="AE204" i="10" s="1"/>
  <c r="AJ204" i="10"/>
  <c r="AD204" i="10"/>
  <c r="AC204" i="10"/>
  <c r="AD14" i="10"/>
  <c r="AJ14" i="10"/>
  <c r="AC14" i="10"/>
  <c r="AF14" i="10" s="1"/>
  <c r="AB14" i="10"/>
  <c r="AI14" i="10"/>
  <c r="AA14" i="10"/>
  <c r="AJ40" i="10"/>
  <c r="AC40" i="10"/>
  <c r="AD40" i="10"/>
  <c r="AB40" i="10"/>
  <c r="AI40" i="10"/>
  <c r="AA40" i="10"/>
  <c r="AC222" i="10"/>
  <c r="AJ222" i="10"/>
  <c r="AD222" i="10"/>
  <c r="AA222" i="10"/>
  <c r="AI222" i="10"/>
  <c r="AB222" i="10"/>
  <c r="AI97" i="10"/>
  <c r="AA97" i="10"/>
  <c r="AB97" i="10"/>
  <c r="AD97" i="10"/>
  <c r="AC97" i="10"/>
  <c r="AJ97" i="10"/>
  <c r="AD288" i="10"/>
  <c r="AC288" i="10"/>
  <c r="AF288" i="10" s="1"/>
  <c r="AJ288" i="10"/>
  <c r="AB288" i="10"/>
  <c r="AA288" i="10"/>
  <c r="AE288" i="10" s="1"/>
  <c r="AG288" i="10" s="1"/>
  <c r="AI288" i="10"/>
  <c r="AA267" i="10"/>
  <c r="AB267" i="10"/>
  <c r="AI267" i="10"/>
  <c r="AJ267" i="10"/>
  <c r="AC267" i="10"/>
  <c r="AF267" i="10" s="1"/>
  <c r="AD267" i="10"/>
  <c r="AD251" i="10"/>
  <c r="AC251" i="10"/>
  <c r="AF251" i="10" s="1"/>
  <c r="AJ251" i="10"/>
  <c r="AB251" i="10"/>
  <c r="AI251" i="10"/>
  <c r="AA251" i="10"/>
  <c r="AA167" i="10"/>
  <c r="AB167" i="10"/>
  <c r="AI167" i="10"/>
  <c r="AC167" i="10"/>
  <c r="AJ167" i="10"/>
  <c r="AD167" i="10"/>
  <c r="AI407" i="10"/>
  <c r="AB407" i="10"/>
  <c r="AA407" i="10"/>
  <c r="AJ407" i="10"/>
  <c r="AC407" i="10"/>
  <c r="AD407" i="10"/>
  <c r="AC140" i="10"/>
  <c r="AJ140" i="10"/>
  <c r="AD140" i="10"/>
  <c r="AA140" i="10"/>
  <c r="AI140" i="10"/>
  <c r="AB140" i="10"/>
  <c r="AB217" i="10"/>
  <c r="AA217" i="10"/>
  <c r="AI217" i="10"/>
  <c r="AD217" i="10"/>
  <c r="AJ217" i="10"/>
  <c r="AC217" i="10"/>
  <c r="AB371" i="10"/>
  <c r="AA371" i="10"/>
  <c r="AE371" i="10" s="1"/>
  <c r="AI371" i="10"/>
  <c r="AD371" i="10"/>
  <c r="AJ371" i="10"/>
  <c r="AC371" i="10"/>
  <c r="AI325" i="10"/>
  <c r="AB325" i="10"/>
  <c r="AA325" i="10"/>
  <c r="AE325" i="10" s="1"/>
  <c r="AJ325" i="10"/>
  <c r="AC325" i="10"/>
  <c r="AD325" i="10"/>
  <c r="AB112" i="10"/>
  <c r="AA112" i="10"/>
  <c r="AI112" i="10"/>
  <c r="AD112" i="10"/>
  <c r="AJ112" i="10"/>
  <c r="AC112" i="10"/>
  <c r="AB256" i="10"/>
  <c r="AA256" i="10"/>
  <c r="AI256" i="10"/>
  <c r="AJ256" i="10"/>
  <c r="AD256" i="10"/>
  <c r="AC256" i="10"/>
  <c r="AD189" i="10"/>
  <c r="AJ189" i="10"/>
  <c r="AC189" i="10"/>
  <c r="AF189" i="10" s="1"/>
  <c r="AB189" i="10"/>
  <c r="AI189" i="10"/>
  <c r="AA189" i="10"/>
  <c r="AE189" i="10" s="1"/>
  <c r="AJ254" i="10"/>
  <c r="AC254" i="10"/>
  <c r="AD254" i="10"/>
  <c r="AI254" i="10"/>
  <c r="AA254" i="10"/>
  <c r="AB254" i="10"/>
  <c r="AB352" i="10"/>
  <c r="AI352" i="10"/>
  <c r="AA352" i="10"/>
  <c r="AD352" i="10"/>
  <c r="AJ352" i="10"/>
  <c r="AC352" i="10"/>
  <c r="V386" i="10"/>
  <c r="W386" i="10" s="1"/>
  <c r="V346" i="10"/>
  <c r="W346" i="10" s="1"/>
  <c r="V125" i="10"/>
  <c r="W125" i="10" s="1"/>
  <c r="J6" i="8"/>
  <c r="I7" i="8"/>
  <c r="V334" i="10"/>
  <c r="W334" i="10" s="1"/>
  <c r="U409" i="10"/>
  <c r="X409" i="10" s="1"/>
  <c r="U274" i="10"/>
  <c r="X274" i="10" s="1"/>
  <c r="K11" i="7"/>
  <c r="M11" i="7" s="1"/>
  <c r="V183" i="10"/>
  <c r="W183" i="10" s="1"/>
  <c r="U200" i="10"/>
  <c r="X200" i="10" s="1"/>
  <c r="U228" i="10"/>
  <c r="X228" i="10" s="1"/>
  <c r="K6" i="8"/>
  <c r="H7" i="8"/>
  <c r="K12" i="7"/>
  <c r="M12" i="7" s="1"/>
  <c r="K10" i="7"/>
  <c r="M10" i="7" s="1"/>
  <c r="V280" i="10"/>
  <c r="W280" i="10" s="1"/>
  <c r="V225" i="10"/>
  <c r="W225" i="10" s="1"/>
  <c r="U152" i="10"/>
  <c r="X152" i="10" s="1"/>
  <c r="V310" i="10"/>
  <c r="W310" i="10" s="1"/>
  <c r="U213" i="10"/>
  <c r="X213" i="10" s="1"/>
  <c r="U260" i="10"/>
  <c r="X260" i="10" s="1"/>
  <c r="U234" i="10"/>
  <c r="X234" i="10" s="1"/>
  <c r="U318" i="10"/>
  <c r="X318" i="10" s="1"/>
  <c r="V269" i="10"/>
  <c r="W269" i="10" s="1"/>
  <c r="J11" i="7"/>
  <c r="N11" i="7" s="1"/>
  <c r="K4" i="7"/>
  <c r="J4" i="7"/>
  <c r="Z12" i="10"/>
  <c r="Y12" i="10"/>
  <c r="Z234" i="10"/>
  <c r="Y225" i="10"/>
  <c r="Y318" i="10"/>
  <c r="Z152" i="10"/>
  <c r="Z200" i="10"/>
  <c r="Q12" i="7"/>
  <c r="Y334" i="10"/>
  <c r="Q11" i="7"/>
  <c r="Y125" i="10"/>
  <c r="Z231" i="10"/>
  <c r="Y231" i="10"/>
  <c r="Z386" i="10"/>
  <c r="Z269" i="10"/>
  <c r="Z409" i="10"/>
  <c r="Q9" i="7"/>
  <c r="R9" i="7"/>
  <c r="Y386" i="10"/>
  <c r="Y152" i="10"/>
  <c r="Y200" i="10"/>
  <c r="Z334" i="10"/>
  <c r="Y269" i="10"/>
  <c r="Z310" i="10"/>
  <c r="Y409" i="10"/>
  <c r="Y157" i="10"/>
  <c r="Z157" i="10"/>
  <c r="Q8" i="7"/>
  <c r="R8" i="7"/>
  <c r="R12" i="7"/>
  <c r="Y183" i="10"/>
  <c r="Y299" i="10"/>
  <c r="Z299" i="10"/>
  <c r="R10" i="7"/>
  <c r="Y310" i="10"/>
  <c r="Y228" i="10"/>
  <c r="Z228" i="10"/>
  <c r="Y187" i="10"/>
  <c r="Z187" i="10"/>
  <c r="Q10" i="7"/>
  <c r="Z280" i="10"/>
  <c r="Y56" i="10"/>
  <c r="Z56" i="10"/>
  <c r="Z183" i="10"/>
  <c r="Z274" i="10"/>
  <c r="R11" i="7"/>
  <c r="Y213" i="10"/>
  <c r="Y260" i="10"/>
  <c r="Y274" i="10"/>
  <c r="Z125" i="10"/>
  <c r="Y346" i="10"/>
  <c r="Z346" i="10"/>
  <c r="Z213" i="10"/>
  <c r="Y234" i="10"/>
  <c r="Z318" i="10"/>
  <c r="Z225" i="10"/>
  <c r="Y280" i="10"/>
  <c r="Z260" i="10"/>
  <c r="AC56" i="10" l="1"/>
  <c r="AJ56" i="10"/>
  <c r="AD56" i="10"/>
  <c r="AA56" i="10"/>
  <c r="AI56" i="10"/>
  <c r="AB56" i="10"/>
  <c r="AC187" i="10"/>
  <c r="AD187" i="10"/>
  <c r="AJ187" i="10"/>
  <c r="AA187" i="10"/>
  <c r="AB187" i="10"/>
  <c r="AI187" i="10"/>
  <c r="AD299" i="10"/>
  <c r="AJ299" i="10"/>
  <c r="AC299" i="10"/>
  <c r="AF299" i="10" s="1"/>
  <c r="AA299" i="10"/>
  <c r="AE299" i="10" s="1"/>
  <c r="AG299" i="10" s="1"/>
  <c r="AI299" i="10"/>
  <c r="AB299" i="10"/>
  <c r="T8" i="7"/>
  <c r="AJ157" i="10"/>
  <c r="AD157" i="10"/>
  <c r="AC157" i="10"/>
  <c r="AB157" i="10"/>
  <c r="AI157" i="10"/>
  <c r="AA157" i="10"/>
  <c r="T9" i="7"/>
  <c r="AB231" i="10"/>
  <c r="AA231" i="10"/>
  <c r="AE231" i="10" s="1"/>
  <c r="AI231" i="10"/>
  <c r="AJ231" i="10"/>
  <c r="AD231" i="10"/>
  <c r="AC231" i="10"/>
  <c r="AB12" i="10"/>
  <c r="AI12" i="10"/>
  <c r="AA12" i="10"/>
  <c r="AE12" i="10" s="1"/>
  <c r="AD12" i="10"/>
  <c r="AC12" i="10"/>
  <c r="AJ12" i="10"/>
  <c r="AE167" i="10"/>
  <c r="AE407" i="10"/>
  <c r="AF204" i="10"/>
  <c r="AG204" i="10" s="1"/>
  <c r="AF40" i="10"/>
  <c r="AG208" i="10"/>
  <c r="AE217" i="10"/>
  <c r="AE352" i="10"/>
  <c r="AF256" i="10"/>
  <c r="AE267" i="10"/>
  <c r="AG267" i="10" s="1"/>
  <c r="T11" i="7"/>
  <c r="AJ228" i="10"/>
  <c r="AD228" i="10"/>
  <c r="AC228" i="10"/>
  <c r="AI228" i="10"/>
  <c r="AB228" i="10"/>
  <c r="AA228" i="10"/>
  <c r="AE228" i="10" s="1"/>
  <c r="AI269" i="10"/>
  <c r="AA269" i="10"/>
  <c r="AB269" i="10"/>
  <c r="AC269" i="10"/>
  <c r="AJ269" i="10"/>
  <c r="AD269" i="10"/>
  <c r="AI200" i="10"/>
  <c r="AA200" i="10"/>
  <c r="AB200" i="10"/>
  <c r="AJ200" i="10"/>
  <c r="AC200" i="10"/>
  <c r="AD200" i="10"/>
  <c r="AB318" i="10"/>
  <c r="AA318" i="10"/>
  <c r="AI318" i="10"/>
  <c r="AD318" i="10"/>
  <c r="AC318" i="10"/>
  <c r="AJ318" i="10"/>
  <c r="AD260" i="10"/>
  <c r="AC260" i="10"/>
  <c r="AJ260" i="10"/>
  <c r="AA260" i="10"/>
  <c r="AI260" i="10"/>
  <c r="AB260" i="10"/>
  <c r="AI213" i="10"/>
  <c r="AB213" i="10"/>
  <c r="AA213" i="10"/>
  <c r="AJ213" i="10"/>
  <c r="AC213" i="10"/>
  <c r="AD213" i="10"/>
  <c r="AJ409" i="10"/>
  <c r="AC409" i="10"/>
  <c r="AD409" i="10"/>
  <c r="AB409" i="10"/>
  <c r="AI409" i="10"/>
  <c r="AA409" i="10"/>
  <c r="AB274" i="10"/>
  <c r="AI274" i="10"/>
  <c r="AA274" i="10"/>
  <c r="AE274" i="10" s="1"/>
  <c r="AC274" i="10"/>
  <c r="AD274" i="10"/>
  <c r="AF274" i="10" s="1"/>
  <c r="AG274" i="10" s="1"/>
  <c r="AJ274" i="10"/>
  <c r="AD310" i="10"/>
  <c r="AJ310" i="10"/>
  <c r="AC310" i="10"/>
  <c r="AF310" i="10" s="1"/>
  <c r="AI310" i="10"/>
  <c r="AB310" i="10"/>
  <c r="AA310" i="10"/>
  <c r="AI334" i="10"/>
  <c r="AB334" i="10"/>
  <c r="AA334" i="10"/>
  <c r="AD334" i="10"/>
  <c r="AC334" i="10"/>
  <c r="AF334" i="10" s="1"/>
  <c r="AJ334" i="10"/>
  <c r="AI152" i="10"/>
  <c r="AA152" i="10"/>
  <c r="AB152" i="10"/>
  <c r="AD152" i="10"/>
  <c r="AJ152" i="10"/>
  <c r="AC152" i="10"/>
  <c r="AF152" i="10" s="1"/>
  <c r="AI225" i="10"/>
  <c r="AB225" i="10"/>
  <c r="AA225" i="10"/>
  <c r="AE225" i="10" s="1"/>
  <c r="AD225" i="10"/>
  <c r="AJ225" i="10"/>
  <c r="AC225" i="10"/>
  <c r="AA280" i="10"/>
  <c r="AI280" i="10"/>
  <c r="AB280" i="10"/>
  <c r="AE280" i="10" s="1"/>
  <c r="AD280" i="10"/>
  <c r="AJ280" i="10"/>
  <c r="AC280" i="10"/>
  <c r="AC125" i="10"/>
  <c r="AD125" i="10"/>
  <c r="AJ125" i="10"/>
  <c r="AA125" i="10"/>
  <c r="AB125" i="10"/>
  <c r="AI125" i="10"/>
  <c r="AC346" i="10"/>
  <c r="AD346" i="10"/>
  <c r="AJ346" i="10"/>
  <c r="AB346" i="10"/>
  <c r="AI346" i="10"/>
  <c r="AA346" i="10"/>
  <c r="AE346" i="10" s="1"/>
  <c r="AA183" i="10"/>
  <c r="AI183" i="10"/>
  <c r="AB183" i="10"/>
  <c r="AJ183" i="10"/>
  <c r="AD183" i="10"/>
  <c r="AF183" i="10" s="1"/>
  <c r="AC183" i="10"/>
  <c r="T10" i="7"/>
  <c r="T12" i="7"/>
  <c r="AB386" i="10"/>
  <c r="AI386" i="10"/>
  <c r="AA386" i="10"/>
  <c r="AJ386" i="10"/>
  <c r="AD386" i="10"/>
  <c r="AC386" i="10"/>
  <c r="AF386" i="10" s="1"/>
  <c r="AD234" i="10"/>
  <c r="AJ234" i="10"/>
  <c r="AC234" i="10"/>
  <c r="AF234" i="10" s="1"/>
  <c r="AB234" i="10"/>
  <c r="AI234" i="10"/>
  <c r="AA234" i="10"/>
  <c r="AE251" i="10"/>
  <c r="AG251" i="10" s="1"/>
  <c r="AF283" i="10"/>
  <c r="AG283" i="10" s="1"/>
  <c r="AF325" i="10"/>
  <c r="AF222" i="10"/>
  <c r="AE14" i="10"/>
  <c r="AG14" i="10" s="1"/>
  <c r="AF71" i="10"/>
  <c r="AE254" i="10"/>
  <c r="AF97" i="10"/>
  <c r="AE40" i="10"/>
  <c r="AG325" i="10"/>
  <c r="AE187" i="10"/>
  <c r="AE256" i="10"/>
  <c r="AG256" i="10" s="1"/>
  <c r="AF371" i="10"/>
  <c r="AG371" i="10" s="1"/>
  <c r="AE140" i="10"/>
  <c r="AF187" i="10"/>
  <c r="AE157" i="10"/>
  <c r="AF254" i="10"/>
  <c r="AF112" i="10"/>
  <c r="AF167" i="10"/>
  <c r="AG167" i="10" s="1"/>
  <c r="AE97" i="10"/>
  <c r="AF140" i="10"/>
  <c r="AF157" i="10"/>
  <c r="J7" i="8"/>
  <c r="I8" i="8"/>
  <c r="AF56" i="10"/>
  <c r="AF407" i="10"/>
  <c r="AG407" i="10" s="1"/>
  <c r="AG189" i="10"/>
  <c r="H8" i="8"/>
  <c r="K7" i="8"/>
  <c r="AF352" i="10"/>
  <c r="AG352" i="10" s="1"/>
  <c r="AE112" i="10"/>
  <c r="AF217" i="10"/>
  <c r="AE222" i="10"/>
  <c r="AG222" i="10" s="1"/>
  <c r="AE71" i="10"/>
  <c r="AG71" i="10" s="1"/>
  <c r="AE200" i="10" l="1"/>
  <c r="AF231" i="10"/>
  <c r="AG231" i="10" s="1"/>
  <c r="AE260" i="10"/>
  <c r="AF269" i="10"/>
  <c r="AG40" i="10"/>
  <c r="AF318" i="10"/>
  <c r="AG97" i="10"/>
  <c r="AE386" i="10"/>
  <c r="AG386" i="10" s="1"/>
  <c r="AF12" i="10"/>
  <c r="AG12" i="10" s="1"/>
  <c r="AG187" i="10"/>
  <c r="AF228" i="10"/>
  <c r="AG228" i="10" s="1"/>
  <c r="AE56" i="10"/>
  <c r="AG56" i="10" s="1"/>
  <c r="AE213" i="10"/>
  <c r="AG217" i="10"/>
  <c r="AE234" i="10"/>
  <c r="AG234" i="10" s="1"/>
  <c r="AE125" i="10"/>
  <c r="AE310" i="10"/>
  <c r="AG310" i="10" s="1"/>
  <c r="AF260" i="10"/>
  <c r="AG260" i="10" s="1"/>
  <c r="AF125" i="10"/>
  <c r="AF280" i="10"/>
  <c r="AF213" i="10"/>
  <c r="AE269" i="10"/>
  <c r="AG112" i="10"/>
  <c r="AE183" i="10"/>
  <c r="AG183" i="10" s="1"/>
  <c r="AE152" i="10"/>
  <c r="I9" i="8"/>
  <c r="J8" i="8"/>
  <c r="AG152" i="10"/>
  <c r="AG269" i="10"/>
  <c r="AG280" i="10"/>
  <c r="AF200" i="10"/>
  <c r="AG200" i="10" s="1"/>
  <c r="AF409" i="10"/>
  <c r="K8" i="8"/>
  <c r="H9" i="8"/>
  <c r="AG157" i="10"/>
  <c r="AF225" i="10"/>
  <c r="AG225" i="10" s="1"/>
  <c r="AG254" i="10"/>
  <c r="AE318" i="10"/>
  <c r="AG318" i="10" s="1"/>
  <c r="AF346" i="10"/>
  <c r="AG346" i="10" s="1"/>
  <c r="AE334" i="10"/>
  <c r="AG334" i="10" s="1"/>
  <c r="AG140" i="10"/>
  <c r="AE409" i="10"/>
  <c r="AG213" i="10" l="1"/>
  <c r="AG125" i="10"/>
  <c r="H10" i="8"/>
  <c r="K9" i="8"/>
  <c r="AG409" i="10"/>
  <c r="J9" i="8"/>
  <c r="I10" i="8"/>
  <c r="I11" i="8" l="1"/>
  <c r="J10" i="8"/>
  <c r="K10" i="8"/>
  <c r="H11" i="8"/>
  <c r="I12" i="8" l="1"/>
  <c r="J11" i="8"/>
  <c r="K11" i="8"/>
  <c r="H12" i="8"/>
  <c r="K12" i="8" l="1"/>
  <c r="H13" i="8"/>
  <c r="I13" i="8"/>
  <c r="J12" i="8"/>
  <c r="J13" i="8" l="1"/>
  <c r="I14" i="8"/>
  <c r="H14" i="8"/>
  <c r="K13" i="8"/>
  <c r="K14" i="8" l="1"/>
  <c r="H15" i="8"/>
  <c r="I15" i="8"/>
  <c r="J14" i="8"/>
  <c r="J15" i="8" l="1"/>
  <c r="I16" i="8"/>
  <c r="H16" i="8"/>
  <c r="K15" i="8"/>
  <c r="H17" i="8" l="1"/>
  <c r="K16" i="8"/>
  <c r="I17" i="8"/>
  <c r="J16" i="8"/>
  <c r="J17" i="8" l="1"/>
  <c r="I18" i="8"/>
  <c r="H18" i="8"/>
  <c r="K17" i="8"/>
  <c r="H19" i="8" l="1"/>
  <c r="K18" i="8"/>
  <c r="I19" i="8"/>
  <c r="J18" i="8"/>
  <c r="J19" i="8" l="1"/>
  <c r="I20" i="8"/>
  <c r="K19" i="8"/>
  <c r="H20" i="8"/>
  <c r="H21" i="8" l="1"/>
  <c r="K20" i="8"/>
  <c r="I21" i="8"/>
  <c r="J20" i="8"/>
  <c r="I22" i="8" l="1"/>
  <c r="J21" i="8"/>
  <c r="K21" i="8"/>
  <c r="H22" i="8"/>
  <c r="H23" i="8" l="1"/>
  <c r="K22" i="8"/>
  <c r="I23" i="8"/>
  <c r="J22" i="8"/>
  <c r="J23" i="8" l="1"/>
  <c r="I24" i="8"/>
  <c r="K23" i="8"/>
  <c r="H24" i="8"/>
  <c r="H25" i="8" l="1"/>
  <c r="K24" i="8"/>
  <c r="J24" i="8"/>
  <c r="I25" i="8"/>
  <c r="J25" i="8" l="1"/>
  <c r="I26" i="8"/>
  <c r="K25" i="8"/>
  <c r="H26" i="8"/>
  <c r="K26" i="8" l="1"/>
  <c r="H27" i="8"/>
  <c r="I27" i="8"/>
  <c r="J26" i="8"/>
  <c r="I28" i="8" l="1"/>
  <c r="J27" i="8"/>
  <c r="H28" i="8"/>
  <c r="K27" i="8"/>
  <c r="H29" i="8" l="1"/>
  <c r="K28" i="8"/>
  <c r="J28" i="8"/>
  <c r="I29" i="8"/>
  <c r="I30" i="8" l="1"/>
  <c r="J29" i="8"/>
  <c r="H30" i="8"/>
  <c r="K29" i="8"/>
  <c r="J30" i="8" l="1"/>
  <c r="I31" i="8"/>
  <c r="K30" i="8"/>
  <c r="H31" i="8"/>
  <c r="H32" i="8" l="1"/>
  <c r="K31" i="8"/>
  <c r="I32" i="8"/>
  <c r="J31" i="8"/>
  <c r="J32" i="8" l="1"/>
  <c r="I33" i="8"/>
  <c r="H33" i="8"/>
  <c r="K32" i="8"/>
  <c r="K33" i="8" l="1"/>
  <c r="H34" i="8"/>
  <c r="J33" i="8"/>
  <c r="I34" i="8"/>
  <c r="I35" i="8" l="1"/>
  <c r="J34" i="8"/>
  <c r="K34" i="8"/>
  <c r="H35" i="8"/>
  <c r="K35" i="8" l="1"/>
  <c r="H36" i="8"/>
  <c r="I36" i="8"/>
  <c r="J35" i="8"/>
  <c r="I37" i="8" l="1"/>
  <c r="J36" i="8"/>
  <c r="K36" i="8"/>
  <c r="H37" i="8"/>
  <c r="H38" i="8" l="1"/>
  <c r="K37" i="8"/>
  <c r="J37" i="8"/>
  <c r="I38" i="8"/>
  <c r="I39" i="8" l="1"/>
  <c r="J38" i="8"/>
  <c r="H39" i="8"/>
  <c r="K38" i="8"/>
  <c r="K39" i="8" l="1"/>
  <c r="H40" i="8"/>
  <c r="J39" i="8"/>
  <c r="I40" i="8"/>
  <c r="K40" i="8" l="1"/>
  <c r="H41" i="8"/>
  <c r="I41" i="8"/>
  <c r="J40" i="8"/>
  <c r="I42" i="8" l="1"/>
  <c r="J41" i="8"/>
  <c r="H42" i="8"/>
  <c r="K41" i="8"/>
  <c r="H43" i="8" l="1"/>
  <c r="K42" i="8"/>
  <c r="J42" i="8"/>
  <c r="I43" i="8"/>
  <c r="J43" i="8" l="1"/>
  <c r="I44" i="8"/>
  <c r="K43" i="8"/>
  <c r="H44" i="8"/>
  <c r="K44" i="8" l="1"/>
  <c r="H45" i="8"/>
  <c r="J44" i="8"/>
  <c r="I45" i="8"/>
  <c r="J45" i="8" l="1"/>
  <c r="I46" i="8"/>
  <c r="H46" i="8"/>
  <c r="K45" i="8"/>
  <c r="K46" i="8" l="1"/>
  <c r="H47" i="8"/>
  <c r="I47" i="8"/>
  <c r="J46" i="8"/>
  <c r="I48" i="8" l="1"/>
  <c r="J47" i="8"/>
  <c r="K47" i="8"/>
  <c r="H48" i="8"/>
  <c r="K48" i="8" l="1"/>
  <c r="H49" i="8"/>
  <c r="J48" i="8"/>
  <c r="I49" i="8"/>
  <c r="J49" i="8" l="1"/>
  <c r="I50" i="8"/>
  <c r="H50" i="8"/>
  <c r="K49" i="8"/>
  <c r="K50" i="8" l="1"/>
  <c r="H51" i="8"/>
  <c r="J50" i="8"/>
  <c r="I51" i="8"/>
  <c r="J51" i="8" l="1"/>
  <c r="I52" i="8"/>
  <c r="H52" i="8"/>
  <c r="K51" i="8"/>
  <c r="K52" i="8" l="1"/>
  <c r="H53" i="8"/>
  <c r="I53" i="8"/>
  <c r="J52" i="8"/>
  <c r="J53" i="8" l="1"/>
  <c r="I54" i="8"/>
  <c r="H54" i="8"/>
  <c r="K53" i="8"/>
  <c r="H55" i="8" l="1"/>
  <c r="K54" i="8"/>
  <c r="J54" i="8"/>
  <c r="I55" i="8"/>
  <c r="J55" i="8" l="1"/>
  <c r="I56" i="8"/>
  <c r="H56" i="8"/>
  <c r="K55" i="8"/>
  <c r="K56" i="8" l="1"/>
  <c r="H57" i="8"/>
  <c r="I57" i="8"/>
  <c r="J56" i="8"/>
  <c r="I58" i="8" l="1"/>
  <c r="J57" i="8"/>
  <c r="H58" i="8"/>
  <c r="K57" i="8"/>
  <c r="K58" i="8" l="1"/>
  <c r="H59" i="8"/>
  <c r="I59" i="8"/>
  <c r="J58" i="8"/>
  <c r="J59" i="8" l="1"/>
  <c r="I60" i="8"/>
  <c r="H60" i="8"/>
  <c r="K59" i="8"/>
  <c r="K60" i="8" l="1"/>
  <c r="H61" i="8"/>
  <c r="I61" i="8"/>
  <c r="J60" i="8"/>
  <c r="I62" i="8" l="1"/>
  <c r="J61" i="8"/>
  <c r="K61" i="8"/>
  <c r="H62" i="8"/>
  <c r="H63" i="8" l="1"/>
  <c r="K62" i="8"/>
  <c r="I63" i="8"/>
  <c r="J62" i="8"/>
  <c r="J63" i="8" l="1"/>
  <c r="I64" i="8"/>
  <c r="K63" i="8"/>
  <c r="H64" i="8"/>
  <c r="J64" i="8" l="1"/>
  <c r="I65" i="8"/>
  <c r="H65" i="8"/>
  <c r="K64" i="8"/>
  <c r="K65" i="8" l="1"/>
  <c r="H66" i="8"/>
  <c r="I66" i="8"/>
  <c r="J65" i="8"/>
  <c r="J66" i="8" l="1"/>
  <c r="I67" i="8"/>
  <c r="H67" i="8"/>
  <c r="K66" i="8"/>
  <c r="H68" i="8" l="1"/>
  <c r="K67" i="8"/>
  <c r="J67" i="8"/>
  <c r="I68" i="8"/>
  <c r="K68" i="8" l="1"/>
  <c r="H69" i="8"/>
  <c r="I69" i="8"/>
  <c r="J68" i="8"/>
  <c r="J69" i="8" l="1"/>
  <c r="I70" i="8"/>
  <c r="H70" i="8"/>
  <c r="K69" i="8"/>
  <c r="H71" i="8" l="1"/>
  <c r="K70" i="8"/>
  <c r="J70" i="8"/>
  <c r="I71" i="8"/>
  <c r="J71" i="8" l="1"/>
  <c r="I72" i="8"/>
  <c r="H72" i="8"/>
  <c r="K71" i="8"/>
  <c r="H73" i="8" l="1"/>
  <c r="K72" i="8"/>
  <c r="I73" i="8"/>
  <c r="J72" i="8"/>
  <c r="J73" i="8" l="1"/>
  <c r="I74" i="8"/>
  <c r="K73" i="8"/>
  <c r="H74" i="8"/>
  <c r="K74" i="8" l="1"/>
  <c r="H75" i="8"/>
  <c r="I75" i="8"/>
  <c r="J74" i="8"/>
  <c r="I76" i="8" l="1"/>
  <c r="J75" i="8"/>
  <c r="H76" i="8"/>
  <c r="K75" i="8"/>
  <c r="K76" i="8" l="1"/>
  <c r="H77" i="8"/>
  <c r="I77" i="8"/>
  <c r="J76" i="8"/>
  <c r="J77" i="8" l="1"/>
  <c r="I78" i="8"/>
  <c r="H78" i="8"/>
  <c r="K77" i="8"/>
  <c r="K78" i="8" l="1"/>
  <c r="H79" i="8"/>
  <c r="I79" i="8"/>
  <c r="J78" i="8"/>
  <c r="J79" i="8" l="1"/>
  <c r="I80" i="8"/>
  <c r="K79" i="8"/>
  <c r="H80" i="8"/>
  <c r="I81" i="8" l="1"/>
  <c r="J80" i="8"/>
  <c r="H81" i="8"/>
  <c r="K80" i="8"/>
  <c r="K81" i="8" l="1"/>
  <c r="H82" i="8"/>
  <c r="I82" i="8"/>
  <c r="J81" i="8"/>
  <c r="I83" i="8" l="1"/>
  <c r="J82" i="8"/>
  <c r="H83" i="8"/>
  <c r="K82" i="8"/>
  <c r="K83" i="8" l="1"/>
  <c r="H84" i="8"/>
  <c r="I84" i="8"/>
  <c r="J83" i="8"/>
  <c r="I85" i="8" l="1"/>
  <c r="J84" i="8"/>
  <c r="K84" i="8"/>
  <c r="H85" i="8"/>
  <c r="H86" i="8" l="1"/>
  <c r="K85" i="8"/>
  <c r="J85" i="8"/>
  <c r="I86" i="8"/>
  <c r="J86" i="8" l="1"/>
  <c r="I87" i="8"/>
  <c r="H87" i="8"/>
  <c r="K86" i="8"/>
  <c r="K87" i="8" l="1"/>
  <c r="H88" i="8"/>
  <c r="I88" i="8"/>
  <c r="J87" i="8"/>
  <c r="I89" i="8" l="1"/>
  <c r="J88" i="8"/>
  <c r="K88" i="8"/>
  <c r="H89" i="8"/>
  <c r="K89" i="8" l="1"/>
  <c r="H90" i="8"/>
  <c r="I90" i="8"/>
  <c r="J89" i="8"/>
  <c r="I91" i="8" l="1"/>
  <c r="J90" i="8"/>
  <c r="H91" i="8"/>
  <c r="K90" i="8"/>
  <c r="H92" i="8" l="1"/>
  <c r="K91" i="8"/>
  <c r="I92" i="8"/>
  <c r="J91" i="8"/>
  <c r="I93" i="8" l="1"/>
  <c r="J92" i="8"/>
  <c r="K92" i="8"/>
  <c r="H93" i="8"/>
  <c r="K93" i="8" l="1"/>
  <c r="H94" i="8"/>
  <c r="J93" i="8"/>
  <c r="I94" i="8"/>
  <c r="J94" i="8" l="1"/>
  <c r="I95" i="8"/>
  <c r="H95" i="8"/>
  <c r="K94" i="8"/>
  <c r="J95" i="8" l="1"/>
  <c r="I96" i="8"/>
  <c r="K95" i="8"/>
  <c r="H96" i="8"/>
  <c r="K96" i="8" l="1"/>
  <c r="H97" i="8"/>
  <c r="J96" i="8"/>
  <c r="I97" i="8"/>
  <c r="J97" i="8" l="1"/>
  <c r="I98" i="8"/>
  <c r="K97" i="8"/>
  <c r="H98" i="8"/>
  <c r="H99" i="8" l="1"/>
  <c r="K98" i="8"/>
  <c r="I99" i="8"/>
  <c r="J98" i="8"/>
  <c r="I100" i="8" l="1"/>
  <c r="J99" i="8"/>
  <c r="H100" i="8"/>
  <c r="K99" i="8"/>
  <c r="K100" i="8" l="1"/>
  <c r="H101" i="8"/>
  <c r="I101" i="8"/>
  <c r="J100" i="8"/>
  <c r="K101" i="8" l="1"/>
  <c r="H102" i="8"/>
  <c r="I102" i="8"/>
  <c r="J101" i="8"/>
  <c r="I103" i="8" l="1"/>
  <c r="J102" i="8"/>
  <c r="H103" i="8"/>
  <c r="K102" i="8"/>
  <c r="K103" i="8" l="1"/>
  <c r="H104" i="8"/>
  <c r="J103" i="8"/>
  <c r="I104" i="8"/>
  <c r="J104" i="8" l="1"/>
  <c r="I105" i="8"/>
  <c r="K104" i="8"/>
  <c r="H105" i="8"/>
  <c r="H106" i="8" l="1"/>
  <c r="K105" i="8"/>
  <c r="I106" i="8"/>
  <c r="J105" i="8"/>
  <c r="I107" i="8" l="1"/>
  <c r="J106" i="8"/>
  <c r="H107" i="8"/>
  <c r="K106" i="8"/>
  <c r="K107" i="8" l="1"/>
  <c r="H108" i="8"/>
  <c r="I108" i="8"/>
  <c r="J107" i="8"/>
  <c r="I109" i="8" l="1"/>
  <c r="J108" i="8"/>
  <c r="H109" i="8"/>
  <c r="K108" i="8"/>
  <c r="H110" i="8" l="1"/>
  <c r="K109" i="8"/>
  <c r="J109" i="8"/>
  <c r="I110" i="8"/>
  <c r="J110" i="8" l="1"/>
  <c r="I111" i="8"/>
  <c r="K110" i="8"/>
  <c r="H111" i="8"/>
  <c r="H112" i="8" l="1"/>
  <c r="K111" i="8"/>
  <c r="J111" i="8"/>
  <c r="I112" i="8"/>
  <c r="J112" i="8" l="1"/>
  <c r="I113" i="8"/>
  <c r="K112" i="8"/>
  <c r="H113" i="8"/>
  <c r="H114" i="8" l="1"/>
  <c r="K113" i="8"/>
  <c r="I114" i="8"/>
  <c r="J113" i="8"/>
  <c r="I115" i="8" l="1"/>
  <c r="J114" i="8"/>
  <c r="K114" i="8"/>
  <c r="H115" i="8"/>
  <c r="K115" i="8" l="1"/>
  <c r="H116" i="8"/>
  <c r="I116" i="8"/>
  <c r="J115" i="8"/>
  <c r="J116" i="8" l="1"/>
  <c r="I117" i="8"/>
  <c r="H117" i="8"/>
  <c r="K116" i="8"/>
  <c r="H118" i="8" l="1"/>
  <c r="K117" i="8"/>
  <c r="I118" i="8"/>
  <c r="J117" i="8"/>
  <c r="I119" i="8" l="1"/>
  <c r="J118" i="8"/>
  <c r="H119" i="8"/>
  <c r="K118" i="8"/>
  <c r="H120" i="8" l="1"/>
  <c r="K119" i="8"/>
  <c r="I120" i="8"/>
  <c r="J119" i="8"/>
  <c r="J120" i="8" l="1"/>
  <c r="I121" i="8"/>
  <c r="K120" i="8"/>
  <c r="H121" i="8"/>
  <c r="K121" i="8" l="1"/>
  <c r="H122" i="8"/>
  <c r="J121" i="8"/>
  <c r="I122" i="8"/>
  <c r="I123" i="8" l="1"/>
  <c r="J122" i="8"/>
  <c r="H123" i="8"/>
  <c r="K122" i="8"/>
  <c r="K123" i="8" l="1"/>
  <c r="H124" i="8"/>
  <c r="J123" i="8"/>
  <c r="I124" i="8"/>
  <c r="K124" i="8" l="1"/>
  <c r="H125" i="8"/>
  <c r="J124" i="8"/>
  <c r="I125" i="8"/>
  <c r="I126" i="8" l="1"/>
  <c r="J125" i="8"/>
  <c r="H126" i="8"/>
  <c r="K125" i="8"/>
  <c r="K126" i="8" l="1"/>
  <c r="H127" i="8"/>
  <c r="J126" i="8"/>
  <c r="I127" i="8"/>
  <c r="I128" i="8" l="1"/>
  <c r="J127" i="8"/>
  <c r="K127" i="8"/>
  <c r="H128" i="8"/>
  <c r="K128" i="8" l="1"/>
  <c r="H129" i="8"/>
  <c r="J128" i="8"/>
  <c r="I129" i="8"/>
  <c r="I130" i="8" l="1"/>
  <c r="J129" i="8"/>
  <c r="K129" i="8"/>
  <c r="H130" i="8"/>
  <c r="K130" i="8" l="1"/>
  <c r="H131" i="8"/>
  <c r="J130" i="8"/>
  <c r="I131" i="8"/>
  <c r="I132" i="8" l="1"/>
  <c r="J131" i="8"/>
  <c r="H132" i="8"/>
  <c r="K131" i="8"/>
  <c r="H133" i="8" l="1"/>
  <c r="K132" i="8"/>
  <c r="J132" i="8"/>
  <c r="I133" i="8"/>
  <c r="I134" i="8" l="1"/>
  <c r="J133" i="8"/>
  <c r="K133" i="8"/>
  <c r="H134" i="8"/>
  <c r="H135" i="8" l="1"/>
  <c r="K134" i="8"/>
  <c r="I135" i="8"/>
  <c r="J134" i="8"/>
  <c r="J135" i="8" l="1"/>
  <c r="I136" i="8"/>
  <c r="H136" i="8"/>
  <c r="K135" i="8"/>
  <c r="H137" i="8" l="1"/>
  <c r="K136" i="8"/>
  <c r="J136" i="8"/>
  <c r="I137" i="8"/>
  <c r="I138" i="8" l="1"/>
  <c r="J137" i="8"/>
  <c r="K137" i="8"/>
  <c r="H138" i="8"/>
  <c r="K138" i="8" l="1"/>
  <c r="H139" i="8"/>
  <c r="I139" i="8"/>
  <c r="J138" i="8"/>
  <c r="I140" i="8" l="1"/>
  <c r="J139" i="8"/>
  <c r="K139" i="8"/>
  <c r="H140" i="8"/>
  <c r="H141" i="8" l="1"/>
  <c r="K140" i="8"/>
  <c r="I141" i="8"/>
  <c r="J140" i="8"/>
  <c r="J141" i="8" l="1"/>
  <c r="I142" i="8"/>
  <c r="K141" i="8"/>
  <c r="H142" i="8"/>
  <c r="H143" i="8" l="1"/>
  <c r="K142" i="8"/>
  <c r="J142" i="8"/>
  <c r="I143" i="8"/>
  <c r="I144" i="8" l="1"/>
  <c r="J143" i="8"/>
  <c r="H144" i="8"/>
  <c r="K143" i="8"/>
  <c r="H145" i="8" l="1"/>
  <c r="K144" i="8"/>
  <c r="I145" i="8"/>
  <c r="J144" i="8"/>
  <c r="I146" i="8" l="1"/>
  <c r="J145" i="8"/>
  <c r="K145" i="8"/>
  <c r="H146" i="8"/>
  <c r="K146" i="8" l="1"/>
  <c r="H147" i="8"/>
  <c r="I147" i="8"/>
  <c r="J146" i="8"/>
  <c r="J147" i="8" l="1"/>
  <c r="I148" i="8"/>
  <c r="H148" i="8"/>
  <c r="K147" i="8"/>
  <c r="H149" i="8" l="1"/>
  <c r="K148" i="8"/>
  <c r="I149" i="8"/>
  <c r="J148" i="8"/>
  <c r="I150" i="8" l="1"/>
  <c r="J149" i="8"/>
  <c r="K149" i="8"/>
  <c r="H150" i="8"/>
  <c r="K150" i="8" l="1"/>
  <c r="H151" i="8"/>
  <c r="K151" i="8" s="1"/>
  <c r="I151" i="8"/>
  <c r="J151" i="8" s="1"/>
  <c r="J150" i="8"/>
</calcChain>
</file>

<file path=xl/sharedStrings.xml><?xml version="1.0" encoding="utf-8"?>
<sst xmlns="http://schemas.openxmlformats.org/spreadsheetml/2006/main" count="408" uniqueCount="279">
  <si>
    <t>Paste your lat/long info into columns A and B.</t>
  </si>
  <si>
    <t>The columns C thru F give the distance between each successive site. Columns G thru I give cumulative totals.</t>
  </si>
  <si>
    <t>Latitude</t>
  </si>
  <si>
    <t>Longitude</t>
  </si>
  <si>
    <t>Metres</t>
  </si>
  <si>
    <t>km</t>
  </si>
  <si>
    <t>miles</t>
  </si>
  <si>
    <t>feet</t>
  </si>
  <si>
    <t>Cumulative Feet</t>
  </si>
  <si>
    <t>Cumulative Meters</t>
  </si>
  <si>
    <t>Rounded Meters</t>
  </si>
  <si>
    <t>Cumulative Miles</t>
  </si>
  <si>
    <t>-</t>
  </si>
  <si>
    <t>Zone</t>
  </si>
  <si>
    <t>Zone Des.</t>
  </si>
  <si>
    <t>N (y)</t>
  </si>
  <si>
    <t>E (x)</t>
  </si>
  <si>
    <t>Easting</t>
  </si>
  <si>
    <t>Remember to enter negative longitudes for points in the western hemisphere.</t>
  </si>
  <si>
    <t>Z</t>
  </si>
  <si>
    <t>North (Y)</t>
  </si>
  <si>
    <t>East (X)</t>
  </si>
  <si>
    <t>SP01</t>
  </si>
  <si>
    <t>SP02</t>
  </si>
  <si>
    <t>Cran40-0-ST</t>
  </si>
  <si>
    <t>SP03</t>
  </si>
  <si>
    <t>Cran40-0-1</t>
  </si>
  <si>
    <t>Cran40-0-2</t>
  </si>
  <si>
    <t>Cran40-0-3</t>
  </si>
  <si>
    <t>Cran40-0-4</t>
  </si>
  <si>
    <t>Cran40-0-5</t>
  </si>
  <si>
    <t>Cran40-0-6</t>
  </si>
  <si>
    <t>Cran40-0-7</t>
  </si>
  <si>
    <t>Cran40-0-8</t>
  </si>
  <si>
    <t>Cran40-0-9</t>
  </si>
  <si>
    <t>BV27</t>
  </si>
  <si>
    <t>Cran27 BV</t>
  </si>
  <si>
    <t>Cran27-0-1</t>
  </si>
  <si>
    <t>Cran27-0-2</t>
  </si>
  <si>
    <t>Cran27-0-3</t>
  </si>
  <si>
    <t>Cran27-0-4</t>
  </si>
  <si>
    <t>Cran27-0-5</t>
  </si>
  <si>
    <t>Cran27-0-6</t>
  </si>
  <si>
    <t>Cran27-0-7</t>
  </si>
  <si>
    <t>Cran27-0-8</t>
  </si>
  <si>
    <t>Cran27-0-9</t>
  </si>
  <si>
    <t>Cran27-0-10</t>
  </si>
  <si>
    <t>BV20</t>
  </si>
  <si>
    <t>Cran20 BV</t>
  </si>
  <si>
    <t>Cran20-0-1</t>
  </si>
  <si>
    <t>Cran20-0-2</t>
  </si>
  <si>
    <t>Cran20-0-3</t>
  </si>
  <si>
    <t>Cran20-0-4</t>
  </si>
  <si>
    <t>Cran20-0-5</t>
  </si>
  <si>
    <t>Cran20-0-6</t>
  </si>
  <si>
    <t>Cran20-0-7</t>
  </si>
  <si>
    <t>Cran20-0-8</t>
  </si>
  <si>
    <t>Cran20-0-9</t>
  </si>
  <si>
    <t>Cran20-0-10</t>
  </si>
  <si>
    <t>Cran20-0-11</t>
  </si>
  <si>
    <t>Cran20-0-12</t>
  </si>
  <si>
    <t>Cran20-0-13</t>
  </si>
  <si>
    <t>SP04</t>
  </si>
  <si>
    <t>Cran</t>
  </si>
  <si>
    <t>SP05</t>
  </si>
  <si>
    <t>Cran27-0-0</t>
  </si>
  <si>
    <t>SP06</t>
  </si>
  <si>
    <t>MLV EAS140 - 0 - BV</t>
  </si>
  <si>
    <t>Cran40-0-M</t>
  </si>
  <si>
    <t>AGM EAS140 - 0 - 1</t>
  </si>
  <si>
    <t>Cran40-0-A</t>
  </si>
  <si>
    <t>AGM EAS140 - 0 - 2</t>
  </si>
  <si>
    <t>AGM EAS140 - 0 - 3</t>
  </si>
  <si>
    <t>AGM EAS140 - 0 - 3A</t>
  </si>
  <si>
    <t>AGM EAS140 - 0 - 4</t>
  </si>
  <si>
    <t>AGM EAS140 - 0 - 5</t>
  </si>
  <si>
    <t>AGM EAS140 - 0 - 6</t>
  </si>
  <si>
    <t>MLV EAS130 - 0 - BV</t>
  </si>
  <si>
    <t>AGM EAS130 - 0 - 1</t>
  </si>
  <si>
    <t>AGM EAS130 - 0 - 2</t>
  </si>
  <si>
    <t>AGM EAS130 - 0 - 3</t>
  </si>
  <si>
    <t>AGM EAS130 - 0 - 4</t>
  </si>
  <si>
    <t>AGM EAS130 - 0 - 5</t>
  </si>
  <si>
    <t>AGM EAS130 - 0 - 6</t>
  </si>
  <si>
    <t>AGM EAS130 - 0 - 7</t>
  </si>
  <si>
    <t>AGM EAS130 - 0 - 8</t>
  </si>
  <si>
    <t>AGM EAS130 - 0 - 9</t>
  </si>
  <si>
    <t>AGM EAS130 - 0 - 10</t>
  </si>
  <si>
    <t>AGM EAS130 - 0 - 11</t>
  </si>
  <si>
    <t>AGM EAS130 - 0 - 12</t>
  </si>
  <si>
    <t>AGM EAS130 - 0 - 12A</t>
  </si>
  <si>
    <t>AGM EAS130 - 0 - 13</t>
  </si>
  <si>
    <t>AGM EAS130 - 0 - 14</t>
  </si>
  <si>
    <t>MLV EAS120-0-BV</t>
  </si>
  <si>
    <t>AGM EAS120 - 0 - 1</t>
  </si>
  <si>
    <t>AGM EAS120 - 0 - 2</t>
  </si>
  <si>
    <t>AGM EAS120 - 0 - 3</t>
  </si>
  <si>
    <t>AGM EAS120 - 0 - 4</t>
  </si>
  <si>
    <t>AGM EAS120 - 0 - 4A</t>
  </si>
  <si>
    <t>AGM EAS120 - 0 - 5</t>
  </si>
  <si>
    <t>AGM EAS120 - 0 - 6</t>
  </si>
  <si>
    <t>AGM EAS120 - 0 - 6A</t>
  </si>
  <si>
    <t>AGM EAS120 - 0 - 7</t>
  </si>
  <si>
    <t>AGM EAS120 - 0 - 8</t>
  </si>
  <si>
    <t>AGM EAS120 - 0 - 9</t>
  </si>
  <si>
    <t>AGM EAS120 - 0 - 10</t>
  </si>
  <si>
    <t>AGM EAS120 - 0 - 11</t>
  </si>
  <si>
    <t>MLV EAS110-0-RT</t>
  </si>
  <si>
    <t>End of Overbore</t>
  </si>
  <si>
    <t>Cran40-0-E</t>
  </si>
  <si>
    <t>1. Copy your original points from the "to UTM" page.</t>
  </si>
  <si>
    <t>2. Copy the calculated UTM points, make sure you paste as values on this page.</t>
  </si>
  <si>
    <t xml:space="preserve">3. Also copy the same UTM points and paste them as values on the "from UTM" page. </t>
  </si>
  <si>
    <t>4. Copy and paste as values the calculated lat/lon from the "from UTM" page here.</t>
  </si>
  <si>
    <t>5. This page will calculate the error in the computations.</t>
  </si>
  <si>
    <t>6. Most error occurs in longitude in the "from UTM" computation. The "to UTM" is accurate to 1 decimetre.</t>
  </si>
  <si>
    <t>From "to UTM" Page</t>
  </si>
  <si>
    <t>From "from UTM" Page</t>
  </si>
  <si>
    <t>ERROR</t>
  </si>
  <si>
    <t>Original Point</t>
  </si>
  <si>
    <t>Calculated UTM</t>
  </si>
  <si>
    <t>Calculated Lat/Lon</t>
  </si>
  <si>
    <t>Number</t>
  </si>
  <si>
    <t>Description</t>
  </si>
  <si>
    <t>Northing</t>
  </si>
  <si>
    <t>Lat</t>
  </si>
  <si>
    <t>Lon</t>
  </si>
  <si>
    <t>m</t>
  </si>
  <si>
    <t>Jim's Coordinates</t>
  </si>
  <si>
    <t>Degree</t>
  </si>
  <si>
    <t>Minutes</t>
  </si>
  <si>
    <t>Seconds</t>
  </si>
  <si>
    <t>Dec Latitude</t>
  </si>
  <si>
    <t>Dec Longitude</t>
  </si>
  <si>
    <t>EL</t>
  </si>
  <si>
    <t>Creek Dent</t>
  </si>
  <si>
    <t>Old Hwy 78 Dent</t>
  </si>
  <si>
    <t>Point Projections</t>
  </si>
  <si>
    <t>Difference</t>
  </si>
  <si>
    <t>Straight</t>
  </si>
  <si>
    <t>Line Points:</t>
  </si>
  <si>
    <t>Long</t>
  </si>
  <si>
    <t>Distance</t>
  </si>
  <si>
    <t>Angle</t>
  </si>
  <si>
    <t>Trap</t>
  </si>
  <si>
    <t>Riser</t>
  </si>
  <si>
    <t>Calculated</t>
  </si>
  <si>
    <t>Calculated Lat</t>
  </si>
  <si>
    <t>Calculated Long</t>
  </si>
  <si>
    <t>BD</t>
  </si>
  <si>
    <t>MV</t>
  </si>
  <si>
    <t>PS</t>
  </si>
  <si>
    <t>TE</t>
  </si>
  <si>
    <t>Enter two points in Rows 3 and 4, showing line azimuth, their UTM will be calculated in L, M &amp; N.</t>
  </si>
  <si>
    <t>Check that the information in Row 5 is correct.</t>
  </si>
  <si>
    <t>To add more rows copy the formulas down including the red columns.</t>
  </si>
  <si>
    <t>Sunrise/Sunset Calculator</t>
  </si>
  <si>
    <t>1=YES</t>
  </si>
  <si>
    <t>Date</t>
  </si>
  <si>
    <t>Place</t>
  </si>
  <si>
    <t>Time Zone</t>
  </si>
  <si>
    <t>Offset</t>
  </si>
  <si>
    <t>DLST</t>
  </si>
  <si>
    <t>Sunrise</t>
  </si>
  <si>
    <t>Sunset</t>
  </si>
  <si>
    <t>Sunrise UTC</t>
  </si>
  <si>
    <t>Sunset UTC</t>
  </si>
  <si>
    <t>Time Zones</t>
  </si>
  <si>
    <t>-UTC</t>
  </si>
  <si>
    <t>Midland TX</t>
  </si>
  <si>
    <t>Central</t>
  </si>
  <si>
    <t>Pacific</t>
  </si>
  <si>
    <t>2910 Coyote Trail CT</t>
  </si>
  <si>
    <t>Mountain</t>
  </si>
  <si>
    <t>Big Knob PA</t>
  </si>
  <si>
    <t>Eastern</t>
  </si>
  <si>
    <t>Victoria BC</t>
  </si>
  <si>
    <t>Cypress Hills</t>
  </si>
  <si>
    <t>SK</t>
  </si>
  <si>
    <t>Carnduff SK</t>
  </si>
  <si>
    <t>Newfie</t>
  </si>
  <si>
    <t>Quito, Ecuador</t>
  </si>
  <si>
    <t>St. John's NF</t>
  </si>
  <si>
    <t>Livingston TX</t>
  </si>
  <si>
    <t>Kuwait</t>
  </si>
  <si>
    <t>KWT</t>
  </si>
  <si>
    <t>Memphis TN</t>
  </si>
  <si>
    <t>#</t>
  </si>
  <si>
    <t>Chainage</t>
  </si>
  <si>
    <t>Calcs</t>
  </si>
  <si>
    <t>US_Lat</t>
  </si>
  <si>
    <t>US_Long</t>
  </si>
  <si>
    <t>DS_Lat</t>
  </si>
  <si>
    <t>DS_Long</t>
  </si>
  <si>
    <t>US_Northing</t>
  </si>
  <si>
    <t>US_Easting</t>
  </si>
  <si>
    <t>DS_Northing</t>
  </si>
  <si>
    <t>DS_Easting</t>
  </si>
  <si>
    <t>Direction</t>
  </si>
  <si>
    <t>EastPrj</t>
  </si>
  <si>
    <t>NorthPrj</t>
  </si>
  <si>
    <t>LatPRJ</t>
  </si>
  <si>
    <t>LongPRJ</t>
  </si>
  <si>
    <t>All</t>
  </si>
  <si>
    <t>WGS-84 Ellipsoid Parameters</t>
  </si>
  <si>
    <t>Originaly Constructed:</t>
  </si>
  <si>
    <t>a</t>
  </si>
  <si>
    <t>semi-major axis</t>
  </si>
  <si>
    <t>constant</t>
  </si>
  <si>
    <t>Modified:</t>
  </si>
  <si>
    <t>mod for eastern hemisphere</t>
  </si>
  <si>
    <t>b</t>
  </si>
  <si>
    <t>semi-minor axis</t>
  </si>
  <si>
    <t>f</t>
  </si>
  <si>
    <t>flattening</t>
  </si>
  <si>
    <t>a/(a-b)</t>
  </si>
  <si>
    <t>1/f</t>
  </si>
  <si>
    <t>flattening reciprocal</t>
  </si>
  <si>
    <t>e^2</t>
  </si>
  <si>
    <t>eccentricity</t>
  </si>
  <si>
    <t>e^2 = 2f-f^2</t>
  </si>
  <si>
    <t>e'^2</t>
  </si>
  <si>
    <t>2nd eccentricity</t>
  </si>
  <si>
    <t>e'^2 = e^2/(1-e^2)</t>
  </si>
  <si>
    <t>Latitude of origin</t>
  </si>
  <si>
    <t>FN</t>
  </si>
  <si>
    <t>false northing</t>
  </si>
  <si>
    <t>FE</t>
  </si>
  <si>
    <t>false easting</t>
  </si>
  <si>
    <t>k</t>
  </si>
  <si>
    <t>scale factor</t>
  </si>
  <si>
    <t>e1</t>
  </si>
  <si>
    <t>3rd eccentricity</t>
  </si>
  <si>
    <t>e</t>
  </si>
  <si>
    <t>Reference:</t>
  </si>
  <si>
    <t>North American Datum of 1983, NOAA Proffesional Paper NOS, Charles R. Schwarz, US Dept of Commerce</t>
  </si>
  <si>
    <t>Central Meridian</t>
  </si>
  <si>
    <t>Hemisphere</t>
  </si>
  <si>
    <t>From</t>
  </si>
  <si>
    <t>To</t>
  </si>
  <si>
    <t>Desig</t>
  </si>
  <si>
    <t>CM</t>
  </si>
  <si>
    <t>S</t>
  </si>
  <si>
    <t>D</t>
  </si>
  <si>
    <t>E</t>
  </si>
  <si>
    <t>F</t>
  </si>
  <si>
    <t>G</t>
  </si>
  <si>
    <t>H</t>
  </si>
  <si>
    <t>J</t>
  </si>
  <si>
    <t>K</t>
  </si>
  <si>
    <t>L</t>
  </si>
  <si>
    <t>M</t>
  </si>
  <si>
    <t>N</t>
  </si>
  <si>
    <t>O</t>
  </si>
  <si>
    <t>P</t>
  </si>
  <si>
    <t>Q</t>
  </si>
  <si>
    <t>R</t>
  </si>
  <si>
    <t>T</t>
  </si>
  <si>
    <t>U</t>
  </si>
  <si>
    <t>V</t>
  </si>
  <si>
    <t>W</t>
  </si>
  <si>
    <t>X</t>
  </si>
  <si>
    <t>6024877.266711648</t>
  </si>
  <si>
    <t>6024874.4772833465</t>
  </si>
  <si>
    <t>6024872.476377703</t>
  </si>
  <si>
    <t>6024866.950852944</t>
  </si>
  <si>
    <t>6025770.862432459</t>
  </si>
  <si>
    <t>6027181.466062892</t>
  </si>
  <si>
    <t>6029069.758434793</t>
  </si>
  <si>
    <t>6029897.785282926</t>
  </si>
  <si>
    <t>6031932.295571276</t>
  </si>
  <si>
    <t>6032926.318722593</t>
  </si>
  <si>
    <t>6034964.914615956</t>
  </si>
  <si>
    <t>6036052.720981584</t>
  </si>
  <si>
    <t>6039031.341873807</t>
  </si>
  <si>
    <t>6039797.273632153</t>
  </si>
  <si>
    <t>6041300.962943986</t>
  </si>
  <si>
    <t>6042130.0045304885</t>
  </si>
  <si>
    <t>6044149.818531476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</si>
</sst>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_(* #,##0.00_);_(* \(#,##0.00\);_(* &quot;-&quot;??_);_(@_)"/>
    <numFmt numFmtId="165" formatCode="#,##0.0000"/>
    <numFmt numFmtId="166" formatCode="0.0000000000"/>
    <numFmt numFmtId="167" formatCode="0.0"/>
    <numFmt numFmtId="168" formatCode="0.00000"/>
    <numFmt numFmtId="169" formatCode="0.000000"/>
    <numFmt numFmtId="170" formatCode="0.000"/>
    <numFmt numFmtId="171" formatCode="0.00000000"/>
    <numFmt numFmtId="172" formatCode="0.0000000"/>
    <numFmt numFmtId="173" formatCode="0.0000"/>
    <numFmt numFmtId="174" formatCode="_(* #,##0_);_(* \(#,##0\);_(* &quot;-&quot;??_);_(@_)"/>
    <numFmt numFmtId="175" formatCode="#,##0.0"/>
    <numFmt numFmtId="176" formatCode="0.000000000"/>
    <numFmt numFmtId="177" formatCode="hh:mm:ss\ \ m/d/yy"/>
    <numFmt numFmtId="178" formatCode="m/d/yy;@"/>
  </numFmts>
  <fonts count="18" x14ac:knownFonts="1">
    <font>
      <sz val="10"/>
      <name val="Tahoma"/>
    </font>
    <font>
      <sz val="10"/>
      <name val="Tahoma"/>
      <family val="2"/>
    </font>
    <font>
      <b/>
      <sz val="10"/>
      <name val="Tahoma"/>
      <family val="2"/>
    </font>
    <font>
      <sz val="10"/>
      <name val="Tahoma"/>
      <family val="2"/>
    </font>
    <font>
      <b/>
      <sz val="10"/>
      <color indexed="10"/>
      <name val="Tahoma"/>
      <family val="2"/>
    </font>
    <font>
      <sz val="10"/>
      <color indexed="10"/>
      <name val="Tahoma"/>
      <family val="2"/>
    </font>
    <font>
      <sz val="12"/>
      <color indexed="10"/>
      <name val="Tahoma"/>
      <family val="2"/>
    </font>
    <font>
      <sz val="8"/>
      <name val="Tahoma"/>
      <family val="2"/>
    </font>
    <font>
      <b/>
      <sz val="12"/>
      <name val="Tahoma"/>
      <family val="2"/>
    </font>
    <font>
      <sz val="10"/>
      <name val="Arial"/>
      <family val="2"/>
    </font>
    <font>
      <sz val="8"/>
      <name val="Tahoma"/>
      <family val="2"/>
    </font>
    <font>
      <sz val="8"/>
      <name val="Arial"/>
      <family val="2"/>
    </font>
    <font>
      <b/>
      <i/>
      <sz val="12"/>
      <name val="Tahoma"/>
      <family val="2"/>
    </font>
    <font>
      <b/>
      <sz val="8"/>
      <name val="Arial"/>
      <family val="2"/>
    </font>
    <font>
      <sz val="8"/>
      <color indexed="10"/>
      <name val="Tahoma"/>
      <family val="2"/>
    </font>
    <font>
      <b/>
      <sz val="8"/>
      <name val="Tahoma"/>
      <family val="2"/>
    </font>
    <font>
      <sz val="10"/>
      <name val="Arial"/>
      <family val="2"/>
    </font>
    <font>
      <b/>
      <sz val="1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164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9" fillId="0" borderId="0"/>
    <xf numFmtId="0" fontId="9" fillId="0" borderId="0"/>
  </cellStyleXfs>
  <cellXfs count="154">
    <xf numFmtId="0" fontId="0" fillId="0" borderId="0" xfId="0"/>
    <xf numFmtId="0" fontId="3" fillId="0" borderId="0" xfId="0" applyFont="1" applyAlignment="1">
      <alignment horizontal="center"/>
    </xf>
    <xf numFmtId="3" fontId="3" fillId="0" borderId="0" xfId="0" applyNumberFormat="1" applyFont="1" applyAlignment="1">
      <alignment horizontal="center"/>
    </xf>
    <xf numFmtId="0" fontId="3" fillId="0" borderId="0" xfId="0" applyFont="1" applyAlignment="1">
      <alignment horizontal="left"/>
    </xf>
    <xf numFmtId="3" fontId="3" fillId="0" borderId="0" xfId="0" applyNumberFormat="1" applyFont="1" applyAlignment="1">
      <alignment horizontal="right"/>
    </xf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22" fontId="0" fillId="0" borderId="0" xfId="0" applyNumberFormat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0" xfId="0" applyFont="1"/>
    <xf numFmtId="0" fontId="7" fillId="0" borderId="0" xfId="0" applyFont="1"/>
    <xf numFmtId="168" fontId="0" fillId="0" borderId="0" xfId="0" applyNumberFormat="1"/>
    <xf numFmtId="168" fontId="2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2" borderId="1" xfId="0" applyFill="1" applyBorder="1" applyAlignment="1">
      <alignment horizontal="center"/>
    </xf>
    <xf numFmtId="168" fontId="0" fillId="3" borderId="1" xfId="0" applyNumberFormat="1" applyFill="1" applyBorder="1" applyAlignment="1">
      <alignment horizontal="center"/>
    </xf>
    <xf numFmtId="168" fontId="0" fillId="4" borderId="1" xfId="0" applyNumberForma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167" fontId="0" fillId="2" borderId="2" xfId="0" applyNumberFormat="1" applyFill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168" fontId="2" fillId="0" borderId="4" xfId="0" applyNumberFormat="1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68" fontId="0" fillId="3" borderId="2" xfId="0" applyNumberFormat="1" applyFill="1" applyBorder="1" applyAlignment="1">
      <alignment horizontal="center"/>
    </xf>
    <xf numFmtId="168" fontId="2" fillId="0" borderId="3" xfId="0" applyNumberFormat="1" applyFont="1" applyBorder="1" applyAlignment="1">
      <alignment horizontal="center"/>
    </xf>
    <xf numFmtId="168" fontId="2" fillId="0" borderId="5" xfId="0" applyNumberFormat="1" applyFont="1" applyBorder="1" applyAlignment="1">
      <alignment horizontal="center"/>
    </xf>
    <xf numFmtId="168" fontId="0" fillId="4" borderId="2" xfId="0" applyNumberFormat="1" applyFill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168" fontId="9" fillId="0" borderId="0" xfId="0" applyNumberFormat="1" applyFont="1" applyAlignment="1">
      <alignment horizontal="center"/>
    </xf>
    <xf numFmtId="172" fontId="0" fillId="4" borderId="2" xfId="0" applyNumberFormat="1" applyFill="1" applyBorder="1" applyAlignment="1">
      <alignment horizontal="center"/>
    </xf>
    <xf numFmtId="172" fontId="0" fillId="4" borderId="1" xfId="0" applyNumberFormat="1" applyFill="1" applyBorder="1" applyAlignment="1">
      <alignment horizontal="center"/>
    </xf>
    <xf numFmtId="175" fontId="2" fillId="0" borderId="0" xfId="0" applyNumberFormat="1" applyFont="1" applyAlignment="1">
      <alignment horizontal="center"/>
    </xf>
    <xf numFmtId="175" fontId="3" fillId="0" borderId="0" xfId="0" applyNumberFormat="1" applyFont="1" applyAlignment="1">
      <alignment horizontal="center"/>
    </xf>
    <xf numFmtId="169" fontId="2" fillId="0" borderId="0" xfId="0" applyNumberFormat="1" applyFont="1" applyAlignment="1">
      <alignment horizontal="center"/>
    </xf>
    <xf numFmtId="2" fontId="5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68" fontId="5" fillId="0" borderId="0" xfId="0" applyNumberFormat="1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right"/>
    </xf>
    <xf numFmtId="15" fontId="2" fillId="0" borderId="0" xfId="0" applyNumberFormat="1" applyFont="1" applyAlignment="1">
      <alignment horizontal="center"/>
    </xf>
    <xf numFmtId="0" fontId="2" fillId="0" borderId="0" xfId="6" applyFont="1"/>
    <xf numFmtId="169" fontId="3" fillId="0" borderId="0" xfId="6" applyNumberFormat="1" applyFont="1"/>
    <xf numFmtId="0" fontId="2" fillId="0" borderId="0" xfId="6" applyFont="1" applyAlignment="1">
      <alignment horizontal="center"/>
    </xf>
    <xf numFmtId="0" fontId="3" fillId="0" borderId="0" xfId="6" applyFont="1"/>
    <xf numFmtId="2" fontId="3" fillId="0" borderId="0" xfId="6" applyNumberFormat="1" applyFont="1"/>
    <xf numFmtId="169" fontId="2" fillId="0" borderId="0" xfId="6" applyNumberFormat="1" applyFont="1" applyAlignment="1">
      <alignment horizontal="center"/>
    </xf>
    <xf numFmtId="2" fontId="2" fillId="0" borderId="0" xfId="6" applyNumberFormat="1" applyFont="1"/>
    <xf numFmtId="0" fontId="3" fillId="5" borderId="0" xfId="6" applyFont="1" applyFill="1"/>
    <xf numFmtId="169" fontId="3" fillId="5" borderId="0" xfId="6" applyNumberFormat="1" applyFont="1" applyFill="1"/>
    <xf numFmtId="0" fontId="3" fillId="0" borderId="0" xfId="6" applyFont="1" applyAlignment="1">
      <alignment horizontal="center"/>
    </xf>
    <xf numFmtId="0" fontId="2" fillId="0" borderId="0" xfId="6" applyFont="1" applyAlignment="1">
      <alignment horizontal="right"/>
    </xf>
    <xf numFmtId="0" fontId="2" fillId="0" borderId="0" xfId="6" applyFont="1" applyAlignment="1">
      <alignment horizontal="left"/>
    </xf>
    <xf numFmtId="169" fontId="2" fillId="0" borderId="0" xfId="6" applyNumberFormat="1" applyFont="1" applyAlignment="1">
      <alignment horizontal="center" wrapText="1"/>
    </xf>
    <xf numFmtId="2" fontId="3" fillId="5" borderId="0" xfId="6" applyNumberFormat="1" applyFont="1" applyFill="1"/>
    <xf numFmtId="169" fontId="3" fillId="4" borderId="1" xfId="6" applyNumberFormat="1" applyFont="1" applyFill="1" applyBorder="1"/>
    <xf numFmtId="0" fontId="3" fillId="0" borderId="1" xfId="6" applyFont="1" applyBorder="1"/>
    <xf numFmtId="0" fontId="3" fillId="4" borderId="1" xfId="6" applyFont="1" applyFill="1" applyBorder="1"/>
    <xf numFmtId="0" fontId="12" fillId="0" borderId="0" xfId="6" applyFont="1"/>
    <xf numFmtId="169" fontId="12" fillId="0" borderId="0" xfId="6" applyNumberFormat="1" applyFont="1"/>
    <xf numFmtId="169" fontId="0" fillId="0" borderId="0" xfId="0" applyNumberFormat="1"/>
    <xf numFmtId="0" fontId="13" fillId="6" borderId="1" xfId="0" applyFont="1" applyFill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6" borderId="1" xfId="0" quotePrefix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4" fontId="2" fillId="6" borderId="1" xfId="0" applyNumberFormat="1" applyFont="1" applyFill="1" applyBorder="1" applyAlignment="1">
      <alignment horizontal="center"/>
    </xf>
    <xf numFmtId="168" fontId="3" fillId="6" borderId="1" xfId="0" applyNumberFormat="1" applyFont="1" applyFill="1" applyBorder="1" applyAlignment="1">
      <alignment horizontal="left"/>
    </xf>
    <xf numFmtId="167" fontId="0" fillId="6" borderId="1" xfId="0" applyNumberFormat="1" applyFill="1" applyBorder="1" applyAlignment="1">
      <alignment horizontal="center"/>
    </xf>
    <xf numFmtId="169" fontId="2" fillId="6" borderId="1" xfId="6" applyNumberFormat="1" applyFont="1" applyFill="1" applyBorder="1" applyAlignment="1">
      <alignment horizontal="center" wrapText="1"/>
    </xf>
    <xf numFmtId="0" fontId="3" fillId="6" borderId="0" xfId="6" applyFont="1" applyFill="1"/>
    <xf numFmtId="1" fontId="3" fillId="6" borderId="1" xfId="6" applyNumberFormat="1" applyFont="1" applyFill="1" applyBorder="1" applyAlignment="1">
      <alignment horizontal="center"/>
    </xf>
    <xf numFmtId="2" fontId="3" fillId="6" borderId="1" xfId="6" applyNumberFormat="1" applyFont="1" applyFill="1" applyBorder="1"/>
    <xf numFmtId="169" fontId="14" fillId="0" borderId="0" xfId="5" applyNumberFormat="1" applyFont="1"/>
    <xf numFmtId="169" fontId="7" fillId="0" borderId="0" xfId="5" applyNumberFormat="1" applyFont="1"/>
    <xf numFmtId="1" fontId="7" fillId="0" borderId="0" xfId="5" applyNumberFormat="1" applyFont="1" applyAlignment="1">
      <alignment horizontal="center"/>
    </xf>
    <xf numFmtId="169" fontId="7" fillId="0" borderId="0" xfId="5" applyNumberFormat="1" applyFont="1" applyAlignment="1">
      <alignment horizontal="center"/>
    </xf>
    <xf numFmtId="0" fontId="7" fillId="0" borderId="0" xfId="5" applyFont="1"/>
    <xf numFmtId="0" fontId="11" fillId="0" borderId="0" xfId="5" applyFont="1"/>
    <xf numFmtId="2" fontId="7" fillId="0" borderId="0" xfId="5" applyNumberFormat="1" applyFont="1"/>
    <xf numFmtId="169" fontId="15" fillId="0" borderId="0" xfId="5" applyNumberFormat="1" applyFont="1" applyAlignment="1">
      <alignment horizontal="center" wrapText="1"/>
    </xf>
    <xf numFmtId="1" fontId="15" fillId="6" borderId="1" xfId="5" applyNumberFormat="1" applyFont="1" applyFill="1" applyBorder="1" applyAlignment="1">
      <alignment horizontal="center" wrapText="1"/>
    </xf>
    <xf numFmtId="169" fontId="15" fillId="6" borderId="1" xfId="5" applyNumberFormat="1" applyFont="1" applyFill="1" applyBorder="1" applyAlignment="1">
      <alignment horizontal="center" wrapText="1"/>
    </xf>
    <xf numFmtId="0" fontId="15" fillId="6" borderId="1" xfId="5" applyFont="1" applyFill="1" applyBorder="1" applyAlignment="1">
      <alignment horizontal="center" wrapText="1"/>
    </xf>
    <xf numFmtId="2" fontId="15" fillId="6" borderId="1" xfId="5" applyNumberFormat="1" applyFont="1" applyFill="1" applyBorder="1" applyAlignment="1">
      <alignment horizontal="center" wrapText="1"/>
    </xf>
    <xf numFmtId="0" fontId="7" fillId="0" borderId="0" xfId="5" applyFont="1" applyAlignment="1">
      <alignment horizontal="center" wrapText="1"/>
    </xf>
    <xf numFmtId="1" fontId="7" fillId="6" borderId="1" xfId="5" applyNumberFormat="1" applyFont="1" applyFill="1" applyBorder="1" applyAlignment="1">
      <alignment horizontal="center"/>
    </xf>
    <xf numFmtId="1" fontId="7" fillId="6" borderId="1" xfId="5" quotePrefix="1" applyNumberFormat="1" applyFont="1" applyFill="1" applyBorder="1" applyAlignment="1">
      <alignment horizontal="center"/>
    </xf>
    <xf numFmtId="0" fontId="7" fillId="6" borderId="1" xfId="5" applyFont="1" applyFill="1" applyBorder="1"/>
    <xf numFmtId="2" fontId="7" fillId="6" borderId="1" xfId="5" applyNumberFormat="1" applyFont="1" applyFill="1" applyBorder="1"/>
    <xf numFmtId="1" fontId="7" fillId="6" borderId="1" xfId="5" applyNumberFormat="1" applyFont="1" applyFill="1" applyBorder="1"/>
    <xf numFmtId="2" fontId="7" fillId="6" borderId="1" xfId="5" applyNumberFormat="1" applyFont="1" applyFill="1" applyBorder="1" applyAlignment="1">
      <alignment horizontal="center"/>
    </xf>
    <xf numFmtId="169" fontId="7" fillId="0" borderId="0" xfId="5" applyNumberFormat="1" applyFont="1" applyAlignment="1">
      <alignment horizontal="right"/>
    </xf>
    <xf numFmtId="172" fontId="0" fillId="0" borderId="0" xfId="0" applyNumberFormat="1" applyAlignment="1">
      <alignment horizontal="center"/>
    </xf>
    <xf numFmtId="172" fontId="0" fillId="0" borderId="0" xfId="0" applyNumberFormat="1"/>
    <xf numFmtId="1" fontId="0" fillId="0" borderId="0" xfId="0" applyNumberFormat="1"/>
    <xf numFmtId="1" fontId="0" fillId="0" borderId="0" xfId="0" applyNumberFormat="1" applyAlignment="1">
      <alignment horizontal="center"/>
    </xf>
    <xf numFmtId="167" fontId="0" fillId="0" borderId="0" xfId="0" applyNumberFormat="1"/>
    <xf numFmtId="2" fontId="0" fillId="0" borderId="0" xfId="0" applyNumberFormat="1" applyAlignment="1">
      <alignment horizontal="center"/>
    </xf>
    <xf numFmtId="173" fontId="0" fillId="0" borderId="0" xfId="0" applyNumberFormat="1"/>
    <xf numFmtId="171" fontId="3" fillId="6" borderId="1" xfId="6" applyNumberFormat="1" applyFont="1" applyFill="1" applyBorder="1"/>
    <xf numFmtId="0" fontId="2" fillId="2" borderId="1" xfId="0" applyFont="1" applyFill="1" applyBorder="1" applyAlignment="1">
      <alignment horizontal="center"/>
    </xf>
    <xf numFmtId="0" fontId="0" fillId="0" borderId="1" xfId="0" applyBorder="1"/>
    <xf numFmtId="0" fontId="2" fillId="7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171" fontId="0" fillId="2" borderId="1" xfId="0" applyNumberFormat="1" applyFill="1" applyBorder="1" applyAlignment="1">
      <alignment horizontal="center"/>
    </xf>
    <xf numFmtId="171" fontId="0" fillId="7" borderId="1" xfId="0" applyNumberForma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1" fontId="15" fillId="0" borderId="0" xfId="5" applyNumberFormat="1" applyFont="1" applyAlignment="1">
      <alignment horizontal="center" wrapText="1"/>
    </xf>
    <xf numFmtId="0" fontId="3" fillId="5" borderId="0" xfId="6" applyFont="1" applyFill="1" applyAlignment="1">
      <alignment horizontal="left"/>
    </xf>
    <xf numFmtId="174" fontId="7" fillId="0" borderId="0" xfId="1" applyNumberFormat="1" applyFont="1"/>
    <xf numFmtId="176" fontId="3" fillId="6" borderId="1" xfId="0" applyNumberFormat="1" applyFont="1" applyFill="1" applyBorder="1" applyAlignment="1">
      <alignment horizontal="center"/>
    </xf>
    <xf numFmtId="176" fontId="2" fillId="6" borderId="1" xfId="0" applyNumberFormat="1" applyFont="1" applyFill="1" applyBorder="1" applyAlignment="1">
      <alignment horizontal="center"/>
    </xf>
    <xf numFmtId="176" fontId="3" fillId="0" borderId="0" xfId="0" applyNumberFormat="1" applyFont="1" applyAlignment="1">
      <alignment horizontal="center"/>
    </xf>
    <xf numFmtId="170" fontId="17" fillId="0" borderId="11" xfId="4" applyNumberFormat="1" applyFont="1" applyBorder="1" applyAlignment="1">
      <alignment horizontal="center"/>
    </xf>
    <xf numFmtId="170" fontId="17" fillId="0" borderId="2" xfId="4" applyNumberFormat="1" applyFont="1" applyBorder="1" applyAlignment="1">
      <alignment horizontal="center"/>
    </xf>
    <xf numFmtId="0" fontId="17" fillId="0" borderId="12" xfId="4" applyFont="1" applyBorder="1" applyAlignment="1">
      <alignment horizontal="center"/>
    </xf>
    <xf numFmtId="0" fontId="17" fillId="0" borderId="13" xfId="4" applyFont="1" applyBorder="1" applyAlignment="1">
      <alignment horizontal="center"/>
    </xf>
    <xf numFmtId="0" fontId="3" fillId="6" borderId="1" xfId="0" applyFont="1" applyFill="1" applyBorder="1" applyAlignment="1">
      <alignment horizontal="right"/>
    </xf>
    <xf numFmtId="178" fontId="11" fillId="0" borderId="1" xfId="0" applyNumberFormat="1" applyFont="1" applyBorder="1" applyAlignment="1">
      <alignment horizontal="center"/>
    </xf>
    <xf numFmtId="0" fontId="11" fillId="0" borderId="1" xfId="0" applyFont="1" applyBorder="1"/>
    <xf numFmtId="169" fontId="11" fillId="0" borderId="1" xfId="0" applyNumberFormat="1" applyFont="1" applyBorder="1" applyAlignment="1">
      <alignment horizontal="right"/>
    </xf>
    <xf numFmtId="169" fontId="11" fillId="0" borderId="1" xfId="0" applyNumberFormat="1" applyFont="1" applyBorder="1" applyAlignment="1">
      <alignment horizontal="center"/>
    </xf>
    <xf numFmtId="167" fontId="11" fillId="0" borderId="1" xfId="0" applyNumberFormat="1" applyFont="1" applyBorder="1" applyAlignment="1">
      <alignment horizontal="center"/>
    </xf>
    <xf numFmtId="177" fontId="11" fillId="0" borderId="1" xfId="0" applyNumberFormat="1" applyFont="1" applyBorder="1" applyAlignment="1">
      <alignment horizontal="center"/>
    </xf>
    <xf numFmtId="177" fontId="11" fillId="0" borderId="1" xfId="0" applyNumberFormat="1" applyFont="1" applyBorder="1" applyAlignment="1">
      <alignment horizontal="left"/>
    </xf>
    <xf numFmtId="0" fontId="11" fillId="6" borderId="1" xfId="0" applyFont="1" applyFill="1" applyBorder="1"/>
    <xf numFmtId="0" fontId="11" fillId="6" borderId="1" xfId="0" applyFont="1" applyFill="1" applyBorder="1" applyAlignment="1">
      <alignment horizontal="center"/>
    </xf>
    <xf numFmtId="0" fontId="11" fillId="0" borderId="1" xfId="0" applyFont="1" applyBorder="1" applyAlignment="1">
      <alignment horizontal="center"/>
    </xf>
    <xf numFmtId="165" fontId="3" fillId="0" borderId="0" xfId="0" applyNumberFormat="1" applyFont="1" applyAlignment="1">
      <alignment horizontal="right"/>
    </xf>
    <xf numFmtId="166" fontId="3" fillId="0" borderId="0" xfId="0" applyNumberFormat="1" applyFont="1" applyAlignment="1">
      <alignment horizontal="right"/>
    </xf>
    <xf numFmtId="0" fontId="0" fillId="0" borderId="0" xfId="0" quotePrefix="1"/>
    <xf numFmtId="0" fontId="2" fillId="0" borderId="0" xfId="0" applyFont="1" applyAlignment="1">
      <alignment horizontal="left" wrapText="1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8" fillId="4" borderId="14" xfId="0" applyFont="1" applyFill="1" applyBorder="1" applyAlignment="1">
      <alignment horizontal="center" vertical="center"/>
    </xf>
    <xf numFmtId="0" fontId="8" fillId="4" borderId="15" xfId="0" applyFont="1" applyFill="1" applyBorder="1" applyAlignment="1">
      <alignment horizontal="center" vertical="center"/>
    </xf>
    <xf numFmtId="0" fontId="8" fillId="4" borderId="16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168" fontId="2" fillId="0" borderId="17" xfId="0" applyNumberFormat="1" applyFont="1" applyBorder="1" applyAlignment="1">
      <alignment horizontal="center"/>
    </xf>
    <xf numFmtId="168" fontId="2" fillId="0" borderId="18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0" xfId="6" applyFont="1" applyAlignment="1">
      <alignment horizontal="center"/>
    </xf>
    <xf numFmtId="2" fontId="2" fillId="6" borderId="19" xfId="6" applyNumberFormat="1" applyFont="1" applyFill="1" applyBorder="1" applyAlignment="1">
      <alignment horizontal="center"/>
    </xf>
  </cellXfs>
  <cellStyles count="7">
    <cellStyle name="Comma" xfId="1" builtinId="3"/>
    <cellStyle name="Comma 2" xfId="2" xr:uid="{00000000-0005-0000-0000-000001000000}"/>
    <cellStyle name="Comma 3" xfId="3" xr:uid="{00000000-0005-0000-0000-000002000000}"/>
    <cellStyle name="Normal" xfId="0" builtinId="0"/>
    <cellStyle name="Normal 2" xfId="4" xr:uid="{00000000-0005-0000-0000-000004000000}"/>
    <cellStyle name="Normal_Great Circle II" xfId="5" xr:uid="{00000000-0005-0000-0000-000005000000}"/>
    <cellStyle name="Normal_PointProjections" xfId="6" xr:uid="{00000000-0005-0000-0000-000006000000}"/>
  </cellStyles>
  <dxfs count="2">
    <dxf>
      <font>
        <b/>
        <i val="0"/>
        <condense val="0"/>
        <extend val="0"/>
        <color indexed="13"/>
      </font>
      <fill>
        <patternFill patternType="solid">
          <bgColor indexed="57"/>
        </patternFill>
      </fill>
    </dxf>
    <dxf>
      <fill>
        <patternFill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M151"/>
  <sheetViews>
    <sheetView workbookViewId="0">
      <pane ySplit="3" topLeftCell="A70" activePane="bottomLeft" state="frozen"/>
      <selection pane="bottomLeft" activeCell="O132" sqref="O132"/>
    </sheetView>
  </sheetViews>
  <sheetFormatPr defaultColWidth="9.140625" defaultRowHeight="11.25" x14ac:dyDescent="0.2"/>
  <cols>
    <col min="1" max="1" width="13.42578125" style="80" customWidth="1"/>
    <col min="2" max="2" width="10.28515625" style="80" bestFit="1" customWidth="1"/>
    <col min="3" max="3" width="10.28515625" style="81" customWidth="1"/>
    <col min="4" max="4" width="7.85546875" style="81" bestFit="1" customWidth="1"/>
    <col min="5" max="5" width="7.5703125" style="82" bestFit="1" customWidth="1"/>
    <col min="6" max="6" width="6.7109375" style="83" bestFit="1" customWidth="1"/>
    <col min="7" max="7" width="10.140625" style="83" bestFit="1" customWidth="1"/>
    <col min="8" max="8" width="10.140625" style="84" bestFit="1" customWidth="1"/>
    <col min="9" max="9" width="10.140625" style="85" bestFit="1" customWidth="1"/>
    <col min="10" max="10" width="8.140625" style="83" bestFit="1" customWidth="1"/>
    <col min="11" max="11" width="10.140625" style="83" customWidth="1"/>
    <col min="12" max="12" width="9.140625" style="83"/>
    <col min="13" max="13" width="9.28515625" style="83" bestFit="1" customWidth="1"/>
    <col min="14" max="16384" width="9.140625" style="83"/>
  </cols>
  <sheetData>
    <row r="1" spans="1:13" x14ac:dyDescent="0.2">
      <c r="A1" s="79" t="s">
        <v>0</v>
      </c>
    </row>
    <row r="2" spans="1:13" x14ac:dyDescent="0.2">
      <c r="A2" s="79" t="s">
        <v>1</v>
      </c>
    </row>
    <row r="3" spans="1:13" s="91" customFormat="1" ht="21" x14ac:dyDescent="0.15">
      <c r="A3" s="86" t="s">
        <v>2</v>
      </c>
      <c r="B3" s="86" t="s">
        <v>3</v>
      </c>
      <c r="C3" s="115"/>
      <c r="D3" s="87" t="s">
        <v>4</v>
      </c>
      <c r="E3" s="88" t="s">
        <v>5</v>
      </c>
      <c r="F3" s="89" t="s">
        <v>6</v>
      </c>
      <c r="G3" s="89" t="s">
        <v>7</v>
      </c>
      <c r="H3" s="89" t="s">
        <v>8</v>
      </c>
      <c r="I3" s="90" t="s">
        <v>9</v>
      </c>
      <c r="J3" s="89" t="s">
        <v>10</v>
      </c>
      <c r="K3" s="89" t="s">
        <v>11</v>
      </c>
    </row>
    <row r="4" spans="1:13" ht="12.75" x14ac:dyDescent="0.2">
      <c r="A4"/>
      <c r="B4"/>
      <c r="D4" s="92"/>
      <c r="E4" s="93" t="s">
        <v>12</v>
      </c>
      <c r="F4" s="93" t="s">
        <v>12</v>
      </c>
      <c r="G4" s="93" t="s">
        <v>12</v>
      </c>
      <c r="H4" s="94">
        <v>0</v>
      </c>
      <c r="I4" s="95">
        <v>0</v>
      </c>
      <c r="J4" s="96">
        <v>0</v>
      </c>
      <c r="K4" s="95">
        <f>H4/5280</f>
        <v>0</v>
      </c>
    </row>
    <row r="5" spans="1:13" ht="12.75" x14ac:dyDescent="0.2">
      <c r="A5"/>
      <c r="B5"/>
      <c r="D5" s="92" t="e">
        <f t="shared" ref="D5:D23" ca="1" si="0">gcdist(A4,B4,A5,B5)</f>
        <v>#NAME?</v>
      </c>
      <c r="E5" s="97" t="e">
        <f t="shared" ref="E5:E23" ca="1" si="1">D5/1000</f>
        <v>#NAME?</v>
      </c>
      <c r="F5" s="97" t="e">
        <f t="shared" ref="F5:F23" ca="1" si="2">E5/1.609344</f>
        <v>#NAME?</v>
      </c>
      <c r="G5" s="92" t="e">
        <f t="shared" ref="G5:G23" ca="1" si="3">F5*5280</f>
        <v>#NAME?</v>
      </c>
      <c r="H5" s="96" t="e">
        <f ca="1">H4+G5</f>
        <v>#NAME?</v>
      </c>
      <c r="I5" s="95" t="e">
        <f ca="1">I4+D5</f>
        <v>#NAME?</v>
      </c>
      <c r="J5" s="96" t="e">
        <f t="shared" ref="J5:J23" ca="1" si="4">ROUND(I5,0)</f>
        <v>#NAME?</v>
      </c>
      <c r="K5" s="95" t="e">
        <f t="shared" ref="K5:K23" ca="1" si="5">H5/5280</f>
        <v>#NAME?</v>
      </c>
    </row>
    <row r="6" spans="1:13" ht="12.75" x14ac:dyDescent="0.2">
      <c r="A6"/>
      <c r="B6"/>
      <c r="D6" s="92" t="e">
        <f t="shared" ca="1" si="0"/>
        <v>#NAME?</v>
      </c>
      <c r="E6" s="97" t="e">
        <f t="shared" ca="1" si="1"/>
        <v>#NAME?</v>
      </c>
      <c r="F6" s="97" t="e">
        <f t="shared" ca="1" si="2"/>
        <v>#NAME?</v>
      </c>
      <c r="G6" s="92" t="e">
        <f t="shared" ca="1" si="3"/>
        <v>#NAME?</v>
      </c>
      <c r="H6" s="96" t="e">
        <f ca="1">H5+G6</f>
        <v>#NAME?</v>
      </c>
      <c r="I6" s="95" t="e">
        <f ca="1">I5+D6</f>
        <v>#NAME?</v>
      </c>
      <c r="J6" s="96" t="e">
        <f t="shared" ca="1" si="4"/>
        <v>#NAME?</v>
      </c>
      <c r="K6" s="95" t="e">
        <f t="shared" ca="1" si="5"/>
        <v>#NAME?</v>
      </c>
      <c r="M6" s="117"/>
    </row>
    <row r="7" spans="1:13" ht="12.75" x14ac:dyDescent="0.2">
      <c r="A7"/>
      <c r="B7"/>
      <c r="D7" s="92" t="e">
        <f t="shared" ca="1" si="0"/>
        <v>#NAME?</v>
      </c>
      <c r="E7" s="97" t="e">
        <f t="shared" ca="1" si="1"/>
        <v>#NAME?</v>
      </c>
      <c r="F7" s="97" t="e">
        <f t="shared" ca="1" si="2"/>
        <v>#NAME?</v>
      </c>
      <c r="G7" s="92" t="e">
        <f t="shared" ca="1" si="3"/>
        <v>#NAME?</v>
      </c>
      <c r="H7" s="96" t="e">
        <f ca="1">H6+G7</f>
        <v>#NAME?</v>
      </c>
      <c r="I7" s="95" t="e">
        <f ca="1">I6+D7</f>
        <v>#NAME?</v>
      </c>
      <c r="J7" s="96" t="e">
        <f t="shared" ca="1" si="4"/>
        <v>#NAME?</v>
      </c>
      <c r="K7" s="95" t="e">
        <f t="shared" ca="1" si="5"/>
        <v>#NAME?</v>
      </c>
    </row>
    <row r="8" spans="1:13" ht="12.75" x14ac:dyDescent="0.2">
      <c r="A8"/>
      <c r="B8"/>
      <c r="D8" s="92" t="e">
        <f t="shared" ca="1" si="0"/>
        <v>#NAME?</v>
      </c>
      <c r="E8" s="97" t="e">
        <f t="shared" ca="1" si="1"/>
        <v>#NAME?</v>
      </c>
      <c r="F8" s="97" t="e">
        <f t="shared" ca="1" si="2"/>
        <v>#NAME?</v>
      </c>
      <c r="G8" s="92" t="e">
        <f t="shared" ca="1" si="3"/>
        <v>#NAME?</v>
      </c>
      <c r="H8" s="96" t="e">
        <f t="shared" ref="H8:H23" ca="1" si="6">H7+G8</f>
        <v>#NAME?</v>
      </c>
      <c r="I8" s="95" t="e">
        <f t="shared" ref="I8:I23" ca="1" si="7">I7+D8</f>
        <v>#NAME?</v>
      </c>
      <c r="J8" s="96" t="e">
        <f t="shared" ca="1" si="4"/>
        <v>#NAME?</v>
      </c>
      <c r="K8" s="95" t="e">
        <f t="shared" ca="1" si="5"/>
        <v>#NAME?</v>
      </c>
    </row>
    <row r="9" spans="1:13" ht="12.75" x14ac:dyDescent="0.2">
      <c r="A9" s="138"/>
      <c r="B9"/>
      <c r="D9" s="92" t="e">
        <f t="shared" ca="1" si="0"/>
        <v>#NAME?</v>
      </c>
      <c r="E9" s="97" t="e">
        <f t="shared" ca="1" si="1"/>
        <v>#NAME?</v>
      </c>
      <c r="F9" s="97" t="e">
        <f t="shared" ca="1" si="2"/>
        <v>#NAME?</v>
      </c>
      <c r="G9" s="92" t="e">
        <f t="shared" ca="1" si="3"/>
        <v>#NAME?</v>
      </c>
      <c r="H9" s="96" t="e">
        <f t="shared" ca="1" si="6"/>
        <v>#NAME?</v>
      </c>
      <c r="I9" s="95" t="e">
        <f t="shared" ca="1" si="7"/>
        <v>#NAME?</v>
      </c>
      <c r="J9" s="96" t="e">
        <f t="shared" ca="1" si="4"/>
        <v>#NAME?</v>
      </c>
      <c r="K9" s="95" t="e">
        <f t="shared" ca="1" si="5"/>
        <v>#NAME?</v>
      </c>
    </row>
    <row r="10" spans="1:13" ht="12.75" x14ac:dyDescent="0.2">
      <c r="A10"/>
      <c r="B10"/>
      <c r="D10" s="92" t="e">
        <f t="shared" ca="1" si="0"/>
        <v>#NAME?</v>
      </c>
      <c r="E10" s="97" t="e">
        <f t="shared" ca="1" si="1"/>
        <v>#NAME?</v>
      </c>
      <c r="F10" s="97" t="e">
        <f t="shared" ca="1" si="2"/>
        <v>#NAME?</v>
      </c>
      <c r="G10" s="92" t="e">
        <f t="shared" ca="1" si="3"/>
        <v>#NAME?</v>
      </c>
      <c r="H10" s="96" t="e">
        <f t="shared" ca="1" si="6"/>
        <v>#NAME?</v>
      </c>
      <c r="I10" s="95" t="e">
        <f t="shared" ca="1" si="7"/>
        <v>#NAME?</v>
      </c>
      <c r="J10" s="96" t="e">
        <f t="shared" ca="1" si="4"/>
        <v>#NAME?</v>
      </c>
      <c r="K10" s="95" t="e">
        <f t="shared" ca="1" si="5"/>
        <v>#NAME?</v>
      </c>
    </row>
    <row r="11" spans="1:13" ht="12.75" x14ac:dyDescent="0.2">
      <c r="A11"/>
      <c r="B11"/>
      <c r="D11" s="92" t="e">
        <f t="shared" ca="1" si="0"/>
        <v>#NAME?</v>
      </c>
      <c r="E11" s="97" t="e">
        <f t="shared" ca="1" si="1"/>
        <v>#NAME?</v>
      </c>
      <c r="F11" s="97" t="e">
        <f t="shared" ca="1" si="2"/>
        <v>#NAME?</v>
      </c>
      <c r="G11" s="92" t="e">
        <f t="shared" ca="1" si="3"/>
        <v>#NAME?</v>
      </c>
      <c r="H11" s="96" t="e">
        <f t="shared" ca="1" si="6"/>
        <v>#NAME?</v>
      </c>
      <c r="I11" s="95" t="e">
        <f t="shared" ca="1" si="7"/>
        <v>#NAME?</v>
      </c>
      <c r="J11" s="96" t="e">
        <f t="shared" ca="1" si="4"/>
        <v>#NAME?</v>
      </c>
      <c r="K11" s="95" t="e">
        <f t="shared" ca="1" si="5"/>
        <v>#NAME?</v>
      </c>
    </row>
    <row r="12" spans="1:13" ht="12.75" x14ac:dyDescent="0.2">
      <c r="A12" s="138"/>
      <c r="B12"/>
      <c r="D12" s="92" t="e">
        <f t="shared" ca="1" si="0"/>
        <v>#NAME?</v>
      </c>
      <c r="E12" s="97" t="e">
        <f t="shared" ca="1" si="1"/>
        <v>#NAME?</v>
      </c>
      <c r="F12" s="97" t="e">
        <f t="shared" ca="1" si="2"/>
        <v>#NAME?</v>
      </c>
      <c r="G12" s="92" t="e">
        <f t="shared" ca="1" si="3"/>
        <v>#NAME?</v>
      </c>
      <c r="H12" s="96" t="e">
        <f t="shared" ca="1" si="6"/>
        <v>#NAME?</v>
      </c>
      <c r="I12" s="95" t="e">
        <f t="shared" ca="1" si="7"/>
        <v>#NAME?</v>
      </c>
      <c r="J12" s="96" t="e">
        <f t="shared" ca="1" si="4"/>
        <v>#NAME?</v>
      </c>
      <c r="K12" s="95" t="e">
        <f t="shared" ca="1" si="5"/>
        <v>#NAME?</v>
      </c>
    </row>
    <row r="13" spans="1:13" ht="12.75" x14ac:dyDescent="0.2">
      <c r="A13" s="138"/>
      <c r="B13"/>
      <c r="D13" s="92" t="e">
        <f t="shared" ca="1" si="0"/>
        <v>#NAME?</v>
      </c>
      <c r="E13" s="97" t="e">
        <f t="shared" ca="1" si="1"/>
        <v>#NAME?</v>
      </c>
      <c r="F13" s="97" t="e">
        <f t="shared" ca="1" si="2"/>
        <v>#NAME?</v>
      </c>
      <c r="G13" s="92" t="e">
        <f t="shared" ca="1" si="3"/>
        <v>#NAME?</v>
      </c>
      <c r="H13" s="96" t="e">
        <f t="shared" ca="1" si="6"/>
        <v>#NAME?</v>
      </c>
      <c r="I13" s="95" t="e">
        <f t="shared" ca="1" si="7"/>
        <v>#NAME?</v>
      </c>
      <c r="J13" s="96" t="e">
        <f t="shared" ca="1" si="4"/>
        <v>#NAME?</v>
      </c>
      <c r="K13" s="95" t="e">
        <f t="shared" ca="1" si="5"/>
        <v>#NAME?</v>
      </c>
    </row>
    <row r="14" spans="1:13" ht="12.75" x14ac:dyDescent="0.2">
      <c r="A14"/>
      <c r="B14"/>
      <c r="D14" s="92" t="e">
        <f t="shared" ca="1" si="0"/>
        <v>#NAME?</v>
      </c>
      <c r="E14" s="97" t="e">
        <f t="shared" ca="1" si="1"/>
        <v>#NAME?</v>
      </c>
      <c r="F14" s="97" t="e">
        <f t="shared" ca="1" si="2"/>
        <v>#NAME?</v>
      </c>
      <c r="G14" s="92" t="e">
        <f t="shared" ca="1" si="3"/>
        <v>#NAME?</v>
      </c>
      <c r="H14" s="96" t="e">
        <f t="shared" ca="1" si="6"/>
        <v>#NAME?</v>
      </c>
      <c r="I14" s="95" t="e">
        <f t="shared" ca="1" si="7"/>
        <v>#NAME?</v>
      </c>
      <c r="J14" s="96" t="e">
        <f t="shared" ca="1" si="4"/>
        <v>#NAME?</v>
      </c>
      <c r="K14" s="95" t="e">
        <f t="shared" ca="1" si="5"/>
        <v>#NAME?</v>
      </c>
    </row>
    <row r="15" spans="1:13" ht="12.75" x14ac:dyDescent="0.2">
      <c r="A15"/>
      <c r="B15"/>
      <c r="D15" s="92" t="e">
        <f t="shared" ca="1" si="0"/>
        <v>#NAME?</v>
      </c>
      <c r="E15" s="97" t="e">
        <f t="shared" ca="1" si="1"/>
        <v>#NAME?</v>
      </c>
      <c r="F15" s="97" t="e">
        <f t="shared" ca="1" si="2"/>
        <v>#NAME?</v>
      </c>
      <c r="G15" s="92" t="e">
        <f t="shared" ca="1" si="3"/>
        <v>#NAME?</v>
      </c>
      <c r="H15" s="96" t="e">
        <f t="shared" ca="1" si="6"/>
        <v>#NAME?</v>
      </c>
      <c r="I15" s="95" t="e">
        <f t="shared" ca="1" si="7"/>
        <v>#NAME?</v>
      </c>
      <c r="J15" s="96" t="e">
        <f t="shared" ca="1" si="4"/>
        <v>#NAME?</v>
      </c>
      <c r="K15" s="95" t="e">
        <f t="shared" ca="1" si="5"/>
        <v>#NAME?</v>
      </c>
    </row>
    <row r="16" spans="1:13" ht="12.75" x14ac:dyDescent="0.2">
      <c r="A16" s="138"/>
      <c r="B16"/>
      <c r="D16" s="92" t="e">
        <f t="shared" ca="1" si="0"/>
        <v>#NAME?</v>
      </c>
      <c r="E16" s="97" t="e">
        <f t="shared" ca="1" si="1"/>
        <v>#NAME?</v>
      </c>
      <c r="F16" s="97" t="e">
        <f t="shared" ca="1" si="2"/>
        <v>#NAME?</v>
      </c>
      <c r="G16" s="92" t="e">
        <f t="shared" ca="1" si="3"/>
        <v>#NAME?</v>
      </c>
      <c r="H16" s="96" t="e">
        <f t="shared" ca="1" si="6"/>
        <v>#NAME?</v>
      </c>
      <c r="I16" s="95" t="e">
        <f t="shared" ca="1" si="7"/>
        <v>#NAME?</v>
      </c>
      <c r="J16" s="96" t="e">
        <f t="shared" ca="1" si="4"/>
        <v>#NAME?</v>
      </c>
      <c r="K16" s="95" t="e">
        <f t="shared" ca="1" si="5"/>
        <v>#NAME?</v>
      </c>
    </row>
    <row r="17" spans="1:11" ht="12.75" x14ac:dyDescent="0.2">
      <c r="A17"/>
      <c r="B17"/>
      <c r="D17" s="92" t="e">
        <f t="shared" ca="1" si="0"/>
        <v>#NAME?</v>
      </c>
      <c r="E17" s="97" t="e">
        <f t="shared" ca="1" si="1"/>
        <v>#NAME?</v>
      </c>
      <c r="F17" s="97" t="e">
        <f t="shared" ca="1" si="2"/>
        <v>#NAME?</v>
      </c>
      <c r="G17" s="92" t="e">
        <f t="shared" ca="1" si="3"/>
        <v>#NAME?</v>
      </c>
      <c r="H17" s="96" t="e">
        <f t="shared" ca="1" si="6"/>
        <v>#NAME?</v>
      </c>
      <c r="I17" s="95" t="e">
        <f t="shared" ca="1" si="7"/>
        <v>#NAME?</v>
      </c>
      <c r="J17" s="96" t="e">
        <f t="shared" ca="1" si="4"/>
        <v>#NAME?</v>
      </c>
      <c r="K17" s="95" t="e">
        <f t="shared" ca="1" si="5"/>
        <v>#NAME?</v>
      </c>
    </row>
    <row r="18" spans="1:11" ht="12.75" x14ac:dyDescent="0.2">
      <c r="A18"/>
      <c r="B18"/>
      <c r="D18" s="92" t="e">
        <f t="shared" ca="1" si="0"/>
        <v>#NAME?</v>
      </c>
      <c r="E18" s="97" t="e">
        <f t="shared" ca="1" si="1"/>
        <v>#NAME?</v>
      </c>
      <c r="F18" s="97" t="e">
        <f t="shared" ca="1" si="2"/>
        <v>#NAME?</v>
      </c>
      <c r="G18" s="92" t="e">
        <f t="shared" ca="1" si="3"/>
        <v>#NAME?</v>
      </c>
      <c r="H18" s="96" t="e">
        <f t="shared" ca="1" si="6"/>
        <v>#NAME?</v>
      </c>
      <c r="I18" s="95" t="e">
        <f t="shared" ca="1" si="7"/>
        <v>#NAME?</v>
      </c>
      <c r="J18" s="96" t="e">
        <f t="shared" ca="1" si="4"/>
        <v>#NAME?</v>
      </c>
      <c r="K18" s="95" t="e">
        <f t="shared" ca="1" si="5"/>
        <v>#NAME?</v>
      </c>
    </row>
    <row r="19" spans="1:11" ht="10.5" x14ac:dyDescent="0.15">
      <c r="A19" s="98"/>
      <c r="B19" s="98"/>
      <c r="D19" s="92" t="e">
        <f t="shared" ca="1" si="0"/>
        <v>#NAME?</v>
      </c>
      <c r="E19" s="97" t="e">
        <f t="shared" ca="1" si="1"/>
        <v>#NAME?</v>
      </c>
      <c r="F19" s="97" t="e">
        <f t="shared" ca="1" si="2"/>
        <v>#NAME?</v>
      </c>
      <c r="G19" s="92" t="e">
        <f t="shared" ca="1" si="3"/>
        <v>#NAME?</v>
      </c>
      <c r="H19" s="96" t="e">
        <f t="shared" ca="1" si="6"/>
        <v>#NAME?</v>
      </c>
      <c r="I19" s="95" t="e">
        <f t="shared" ca="1" si="7"/>
        <v>#NAME?</v>
      </c>
      <c r="J19" s="96" t="e">
        <f t="shared" ca="1" si="4"/>
        <v>#NAME?</v>
      </c>
      <c r="K19" s="95" t="e">
        <f t="shared" ca="1" si="5"/>
        <v>#NAME?</v>
      </c>
    </row>
    <row r="20" spans="1:11" ht="10.5" x14ac:dyDescent="0.15">
      <c r="A20" s="98"/>
      <c r="B20" s="98"/>
      <c r="D20" s="92" t="e">
        <f t="shared" ca="1" si="0"/>
        <v>#NAME?</v>
      </c>
      <c r="E20" s="97" t="e">
        <f t="shared" ca="1" si="1"/>
        <v>#NAME?</v>
      </c>
      <c r="F20" s="97" t="e">
        <f t="shared" ca="1" si="2"/>
        <v>#NAME?</v>
      </c>
      <c r="G20" s="92" t="e">
        <f t="shared" ca="1" si="3"/>
        <v>#NAME?</v>
      </c>
      <c r="H20" s="96" t="e">
        <f t="shared" ca="1" si="6"/>
        <v>#NAME?</v>
      </c>
      <c r="I20" s="95" t="e">
        <f t="shared" ca="1" si="7"/>
        <v>#NAME?</v>
      </c>
      <c r="J20" s="96" t="e">
        <f t="shared" ca="1" si="4"/>
        <v>#NAME?</v>
      </c>
      <c r="K20" s="95" t="e">
        <f t="shared" ca="1" si="5"/>
        <v>#NAME?</v>
      </c>
    </row>
    <row r="21" spans="1:11" ht="10.5" x14ac:dyDescent="0.15">
      <c r="A21" s="98"/>
      <c r="B21" s="98"/>
      <c r="D21" s="92" t="e">
        <f t="shared" ca="1" si="0"/>
        <v>#NAME?</v>
      </c>
      <c r="E21" s="97" t="e">
        <f t="shared" ca="1" si="1"/>
        <v>#NAME?</v>
      </c>
      <c r="F21" s="97" t="e">
        <f t="shared" ca="1" si="2"/>
        <v>#NAME?</v>
      </c>
      <c r="G21" s="92" t="e">
        <f t="shared" ca="1" si="3"/>
        <v>#NAME?</v>
      </c>
      <c r="H21" s="96" t="e">
        <f t="shared" ca="1" si="6"/>
        <v>#NAME?</v>
      </c>
      <c r="I21" s="95" t="e">
        <f t="shared" ca="1" si="7"/>
        <v>#NAME?</v>
      </c>
      <c r="J21" s="96" t="e">
        <f t="shared" ca="1" si="4"/>
        <v>#NAME?</v>
      </c>
      <c r="K21" s="95" t="e">
        <f t="shared" ca="1" si="5"/>
        <v>#NAME?</v>
      </c>
    </row>
    <row r="22" spans="1:11" ht="10.5" x14ac:dyDescent="0.15">
      <c r="A22" s="98"/>
      <c r="B22" s="98"/>
      <c r="D22" s="92" t="e">
        <f t="shared" ca="1" si="0"/>
        <v>#NAME?</v>
      </c>
      <c r="E22" s="97" t="e">
        <f t="shared" ca="1" si="1"/>
        <v>#NAME?</v>
      </c>
      <c r="F22" s="97" t="e">
        <f t="shared" ca="1" si="2"/>
        <v>#NAME?</v>
      </c>
      <c r="G22" s="92" t="e">
        <f t="shared" ca="1" si="3"/>
        <v>#NAME?</v>
      </c>
      <c r="H22" s="96" t="e">
        <f t="shared" ca="1" si="6"/>
        <v>#NAME?</v>
      </c>
      <c r="I22" s="95" t="e">
        <f t="shared" ca="1" si="7"/>
        <v>#NAME?</v>
      </c>
      <c r="J22" s="96" t="e">
        <f t="shared" ca="1" si="4"/>
        <v>#NAME?</v>
      </c>
      <c r="K22" s="95" t="e">
        <f t="shared" ca="1" si="5"/>
        <v>#NAME?</v>
      </c>
    </row>
    <row r="23" spans="1:11" ht="10.5" x14ac:dyDescent="0.15">
      <c r="A23" s="98"/>
      <c r="B23" s="98"/>
      <c r="D23" s="92" t="e">
        <f t="shared" ca="1" si="0"/>
        <v>#NAME?</v>
      </c>
      <c r="E23" s="97" t="e">
        <f t="shared" ca="1" si="1"/>
        <v>#NAME?</v>
      </c>
      <c r="F23" s="97" t="e">
        <f t="shared" ca="1" si="2"/>
        <v>#NAME?</v>
      </c>
      <c r="G23" s="92" t="e">
        <f t="shared" ca="1" si="3"/>
        <v>#NAME?</v>
      </c>
      <c r="H23" s="96" t="e">
        <f t="shared" ca="1" si="6"/>
        <v>#NAME?</v>
      </c>
      <c r="I23" s="95" t="e">
        <f t="shared" ca="1" si="7"/>
        <v>#NAME?</v>
      </c>
      <c r="J23" s="96" t="e">
        <f t="shared" ca="1" si="4"/>
        <v>#NAME?</v>
      </c>
      <c r="K23" s="95" t="e">
        <f t="shared" ca="1" si="5"/>
        <v>#NAME?</v>
      </c>
    </row>
    <row r="24" spans="1:11" ht="10.5" x14ac:dyDescent="0.15">
      <c r="D24" s="92" t="e">
        <f t="shared" ref="D24:D87" ca="1" si="8">gcdist(A23,B23,A24,B24)</f>
        <v>#NAME?</v>
      </c>
      <c r="E24" s="97" t="e">
        <f t="shared" ref="E24:E87" ca="1" si="9">D24/1000</f>
        <v>#NAME?</v>
      </c>
      <c r="F24" s="97" t="e">
        <f t="shared" ref="F24:F87" ca="1" si="10">E24/1.609344</f>
        <v>#NAME?</v>
      </c>
      <c r="G24" s="92" t="e">
        <f t="shared" ref="G24:G87" ca="1" si="11">F24*5280</f>
        <v>#NAME?</v>
      </c>
      <c r="H24" s="96" t="e">
        <f t="shared" ref="H24:H87" ca="1" si="12">H23+G24</f>
        <v>#NAME?</v>
      </c>
      <c r="I24" s="95" t="e">
        <f t="shared" ref="I24:I87" ca="1" si="13">I23+D24</f>
        <v>#NAME?</v>
      </c>
      <c r="J24" s="96" t="e">
        <f t="shared" ref="J24:J87" ca="1" si="14">ROUND(I24,0)</f>
        <v>#NAME?</v>
      </c>
      <c r="K24" s="95" t="e">
        <f t="shared" ref="K24:K87" ca="1" si="15">H24/5280</f>
        <v>#NAME?</v>
      </c>
    </row>
    <row r="25" spans="1:11" ht="10.5" x14ac:dyDescent="0.15">
      <c r="D25" s="92" t="e">
        <f t="shared" ca="1" si="8"/>
        <v>#NAME?</v>
      </c>
      <c r="E25" s="97" t="e">
        <f t="shared" ca="1" si="9"/>
        <v>#NAME?</v>
      </c>
      <c r="F25" s="97" t="e">
        <f t="shared" ca="1" si="10"/>
        <v>#NAME?</v>
      </c>
      <c r="G25" s="92" t="e">
        <f t="shared" ca="1" si="11"/>
        <v>#NAME?</v>
      </c>
      <c r="H25" s="96" t="e">
        <f t="shared" ca="1" si="12"/>
        <v>#NAME?</v>
      </c>
      <c r="I25" s="95" t="e">
        <f t="shared" ca="1" si="13"/>
        <v>#NAME?</v>
      </c>
      <c r="J25" s="96" t="e">
        <f t="shared" ca="1" si="14"/>
        <v>#NAME?</v>
      </c>
      <c r="K25" s="95" t="e">
        <f t="shared" ca="1" si="15"/>
        <v>#NAME?</v>
      </c>
    </row>
    <row r="26" spans="1:11" ht="10.5" x14ac:dyDescent="0.15">
      <c r="D26" s="92" t="e">
        <f t="shared" ca="1" si="8"/>
        <v>#NAME?</v>
      </c>
      <c r="E26" s="97" t="e">
        <f t="shared" ca="1" si="9"/>
        <v>#NAME?</v>
      </c>
      <c r="F26" s="97" t="e">
        <f t="shared" ca="1" si="10"/>
        <v>#NAME?</v>
      </c>
      <c r="G26" s="92" t="e">
        <f t="shared" ca="1" si="11"/>
        <v>#NAME?</v>
      </c>
      <c r="H26" s="96" t="e">
        <f t="shared" ca="1" si="12"/>
        <v>#NAME?</v>
      </c>
      <c r="I26" s="95" t="e">
        <f t="shared" ca="1" si="13"/>
        <v>#NAME?</v>
      </c>
      <c r="J26" s="96" t="e">
        <f t="shared" ca="1" si="14"/>
        <v>#NAME?</v>
      </c>
      <c r="K26" s="95" t="e">
        <f t="shared" ca="1" si="15"/>
        <v>#NAME?</v>
      </c>
    </row>
    <row r="27" spans="1:11" ht="10.5" x14ac:dyDescent="0.15">
      <c r="D27" s="92" t="e">
        <f t="shared" ca="1" si="8"/>
        <v>#NAME?</v>
      </c>
      <c r="E27" s="97" t="e">
        <f t="shared" ca="1" si="9"/>
        <v>#NAME?</v>
      </c>
      <c r="F27" s="97" t="e">
        <f t="shared" ca="1" si="10"/>
        <v>#NAME?</v>
      </c>
      <c r="G27" s="92" t="e">
        <f t="shared" ca="1" si="11"/>
        <v>#NAME?</v>
      </c>
      <c r="H27" s="96" t="e">
        <f t="shared" ca="1" si="12"/>
        <v>#NAME?</v>
      </c>
      <c r="I27" s="95" t="e">
        <f t="shared" ca="1" si="13"/>
        <v>#NAME?</v>
      </c>
      <c r="J27" s="96" t="e">
        <f t="shared" ca="1" si="14"/>
        <v>#NAME?</v>
      </c>
      <c r="K27" s="95" t="e">
        <f t="shared" ca="1" si="15"/>
        <v>#NAME?</v>
      </c>
    </row>
    <row r="28" spans="1:11" ht="10.5" x14ac:dyDescent="0.15">
      <c r="D28" s="92" t="e">
        <f t="shared" ca="1" si="8"/>
        <v>#NAME?</v>
      </c>
      <c r="E28" s="97" t="e">
        <f t="shared" ca="1" si="9"/>
        <v>#NAME?</v>
      </c>
      <c r="F28" s="97" t="e">
        <f t="shared" ca="1" si="10"/>
        <v>#NAME?</v>
      </c>
      <c r="G28" s="92" t="e">
        <f t="shared" ca="1" si="11"/>
        <v>#NAME?</v>
      </c>
      <c r="H28" s="96" t="e">
        <f t="shared" ca="1" si="12"/>
        <v>#NAME?</v>
      </c>
      <c r="I28" s="95" t="e">
        <f t="shared" ca="1" si="13"/>
        <v>#NAME?</v>
      </c>
      <c r="J28" s="96" t="e">
        <f t="shared" ca="1" si="14"/>
        <v>#NAME?</v>
      </c>
      <c r="K28" s="95" t="e">
        <f t="shared" ca="1" si="15"/>
        <v>#NAME?</v>
      </c>
    </row>
    <row r="29" spans="1:11" ht="10.5" x14ac:dyDescent="0.15">
      <c r="D29" s="92" t="e">
        <f t="shared" ca="1" si="8"/>
        <v>#NAME?</v>
      </c>
      <c r="E29" s="97" t="e">
        <f t="shared" ca="1" si="9"/>
        <v>#NAME?</v>
      </c>
      <c r="F29" s="97" t="e">
        <f t="shared" ca="1" si="10"/>
        <v>#NAME?</v>
      </c>
      <c r="G29" s="92" t="e">
        <f t="shared" ca="1" si="11"/>
        <v>#NAME?</v>
      </c>
      <c r="H29" s="96" t="e">
        <f t="shared" ca="1" si="12"/>
        <v>#NAME?</v>
      </c>
      <c r="I29" s="95" t="e">
        <f t="shared" ca="1" si="13"/>
        <v>#NAME?</v>
      </c>
      <c r="J29" s="96" t="e">
        <f t="shared" ca="1" si="14"/>
        <v>#NAME?</v>
      </c>
      <c r="K29" s="95" t="e">
        <f t="shared" ca="1" si="15"/>
        <v>#NAME?</v>
      </c>
    </row>
    <row r="30" spans="1:11" ht="10.5" x14ac:dyDescent="0.15">
      <c r="D30" s="92" t="e">
        <f t="shared" ca="1" si="8"/>
        <v>#NAME?</v>
      </c>
      <c r="E30" s="97" t="e">
        <f t="shared" ca="1" si="9"/>
        <v>#NAME?</v>
      </c>
      <c r="F30" s="97" t="e">
        <f t="shared" ca="1" si="10"/>
        <v>#NAME?</v>
      </c>
      <c r="G30" s="92" t="e">
        <f t="shared" ca="1" si="11"/>
        <v>#NAME?</v>
      </c>
      <c r="H30" s="96" t="e">
        <f t="shared" ca="1" si="12"/>
        <v>#NAME?</v>
      </c>
      <c r="I30" s="95" t="e">
        <f t="shared" ca="1" si="13"/>
        <v>#NAME?</v>
      </c>
      <c r="J30" s="96" t="e">
        <f t="shared" ca="1" si="14"/>
        <v>#NAME?</v>
      </c>
      <c r="K30" s="95" t="e">
        <f t="shared" ca="1" si="15"/>
        <v>#NAME?</v>
      </c>
    </row>
    <row r="31" spans="1:11" ht="10.5" x14ac:dyDescent="0.15">
      <c r="D31" s="92" t="e">
        <f t="shared" ca="1" si="8"/>
        <v>#NAME?</v>
      </c>
      <c r="E31" s="97" t="e">
        <f t="shared" ca="1" si="9"/>
        <v>#NAME?</v>
      </c>
      <c r="F31" s="97" t="e">
        <f t="shared" ca="1" si="10"/>
        <v>#NAME?</v>
      </c>
      <c r="G31" s="92" t="e">
        <f t="shared" ca="1" si="11"/>
        <v>#NAME?</v>
      </c>
      <c r="H31" s="96" t="e">
        <f t="shared" ca="1" si="12"/>
        <v>#NAME?</v>
      </c>
      <c r="I31" s="95" t="e">
        <f t="shared" ca="1" si="13"/>
        <v>#NAME?</v>
      </c>
      <c r="J31" s="96" t="e">
        <f t="shared" ca="1" si="14"/>
        <v>#NAME?</v>
      </c>
      <c r="K31" s="95" t="e">
        <f t="shared" ca="1" si="15"/>
        <v>#NAME?</v>
      </c>
    </row>
    <row r="32" spans="1:11" ht="10.5" x14ac:dyDescent="0.15">
      <c r="D32" s="92" t="e">
        <f t="shared" ca="1" si="8"/>
        <v>#NAME?</v>
      </c>
      <c r="E32" s="97" t="e">
        <f t="shared" ca="1" si="9"/>
        <v>#NAME?</v>
      </c>
      <c r="F32" s="97" t="e">
        <f t="shared" ca="1" si="10"/>
        <v>#NAME?</v>
      </c>
      <c r="G32" s="92" t="e">
        <f t="shared" ca="1" si="11"/>
        <v>#NAME?</v>
      </c>
      <c r="H32" s="96" t="e">
        <f t="shared" ca="1" si="12"/>
        <v>#NAME?</v>
      </c>
      <c r="I32" s="95" t="e">
        <f t="shared" ca="1" si="13"/>
        <v>#NAME?</v>
      </c>
      <c r="J32" s="96" t="e">
        <f t="shared" ca="1" si="14"/>
        <v>#NAME?</v>
      </c>
      <c r="K32" s="95" t="e">
        <f t="shared" ca="1" si="15"/>
        <v>#NAME?</v>
      </c>
    </row>
    <row r="33" spans="4:11" ht="10.5" x14ac:dyDescent="0.15">
      <c r="D33" s="92" t="e">
        <f t="shared" ca="1" si="8"/>
        <v>#NAME?</v>
      </c>
      <c r="E33" s="97" t="e">
        <f t="shared" ca="1" si="9"/>
        <v>#NAME?</v>
      </c>
      <c r="F33" s="97" t="e">
        <f t="shared" ca="1" si="10"/>
        <v>#NAME?</v>
      </c>
      <c r="G33" s="92" t="e">
        <f t="shared" ca="1" si="11"/>
        <v>#NAME?</v>
      </c>
      <c r="H33" s="96" t="e">
        <f t="shared" ca="1" si="12"/>
        <v>#NAME?</v>
      </c>
      <c r="I33" s="95" t="e">
        <f t="shared" ca="1" si="13"/>
        <v>#NAME?</v>
      </c>
      <c r="J33" s="96" t="e">
        <f t="shared" ca="1" si="14"/>
        <v>#NAME?</v>
      </c>
      <c r="K33" s="95" t="e">
        <f t="shared" ca="1" si="15"/>
        <v>#NAME?</v>
      </c>
    </row>
    <row r="34" spans="4:11" ht="10.5" x14ac:dyDescent="0.15">
      <c r="D34" s="92" t="e">
        <f t="shared" ca="1" si="8"/>
        <v>#NAME?</v>
      </c>
      <c r="E34" s="97" t="e">
        <f t="shared" ca="1" si="9"/>
        <v>#NAME?</v>
      </c>
      <c r="F34" s="97" t="e">
        <f t="shared" ca="1" si="10"/>
        <v>#NAME?</v>
      </c>
      <c r="G34" s="92" t="e">
        <f t="shared" ca="1" si="11"/>
        <v>#NAME?</v>
      </c>
      <c r="H34" s="96" t="e">
        <f t="shared" ca="1" si="12"/>
        <v>#NAME?</v>
      </c>
      <c r="I34" s="95" t="e">
        <f t="shared" ca="1" si="13"/>
        <v>#NAME?</v>
      </c>
      <c r="J34" s="96" t="e">
        <f t="shared" ca="1" si="14"/>
        <v>#NAME?</v>
      </c>
      <c r="K34" s="95" t="e">
        <f t="shared" ca="1" si="15"/>
        <v>#NAME?</v>
      </c>
    </row>
    <row r="35" spans="4:11" ht="10.5" x14ac:dyDescent="0.15">
      <c r="D35" s="92" t="e">
        <f t="shared" ca="1" si="8"/>
        <v>#NAME?</v>
      </c>
      <c r="E35" s="97" t="e">
        <f t="shared" ca="1" si="9"/>
        <v>#NAME?</v>
      </c>
      <c r="F35" s="97" t="e">
        <f t="shared" ca="1" si="10"/>
        <v>#NAME?</v>
      </c>
      <c r="G35" s="92" t="e">
        <f t="shared" ca="1" si="11"/>
        <v>#NAME?</v>
      </c>
      <c r="H35" s="96" t="e">
        <f t="shared" ca="1" si="12"/>
        <v>#NAME?</v>
      </c>
      <c r="I35" s="95" t="e">
        <f t="shared" ca="1" si="13"/>
        <v>#NAME?</v>
      </c>
      <c r="J35" s="96" t="e">
        <f t="shared" ca="1" si="14"/>
        <v>#NAME?</v>
      </c>
      <c r="K35" s="95" t="e">
        <f t="shared" ca="1" si="15"/>
        <v>#NAME?</v>
      </c>
    </row>
    <row r="36" spans="4:11" ht="10.5" x14ac:dyDescent="0.15">
      <c r="D36" s="92" t="e">
        <f t="shared" ca="1" si="8"/>
        <v>#NAME?</v>
      </c>
      <c r="E36" s="97" t="e">
        <f t="shared" ca="1" si="9"/>
        <v>#NAME?</v>
      </c>
      <c r="F36" s="97" t="e">
        <f t="shared" ca="1" si="10"/>
        <v>#NAME?</v>
      </c>
      <c r="G36" s="92" t="e">
        <f t="shared" ca="1" si="11"/>
        <v>#NAME?</v>
      </c>
      <c r="H36" s="96" t="e">
        <f t="shared" ca="1" si="12"/>
        <v>#NAME?</v>
      </c>
      <c r="I36" s="95" t="e">
        <f t="shared" ca="1" si="13"/>
        <v>#NAME?</v>
      </c>
      <c r="J36" s="96" t="e">
        <f t="shared" ca="1" si="14"/>
        <v>#NAME?</v>
      </c>
      <c r="K36" s="95" t="e">
        <f t="shared" ca="1" si="15"/>
        <v>#NAME?</v>
      </c>
    </row>
    <row r="37" spans="4:11" ht="10.5" x14ac:dyDescent="0.15">
      <c r="D37" s="92" t="e">
        <f t="shared" ca="1" si="8"/>
        <v>#NAME?</v>
      </c>
      <c r="E37" s="97" t="e">
        <f t="shared" ca="1" si="9"/>
        <v>#NAME?</v>
      </c>
      <c r="F37" s="97" t="e">
        <f t="shared" ca="1" si="10"/>
        <v>#NAME?</v>
      </c>
      <c r="G37" s="92" t="e">
        <f t="shared" ca="1" si="11"/>
        <v>#NAME?</v>
      </c>
      <c r="H37" s="96" t="e">
        <f t="shared" ca="1" si="12"/>
        <v>#NAME?</v>
      </c>
      <c r="I37" s="95" t="e">
        <f t="shared" ca="1" si="13"/>
        <v>#NAME?</v>
      </c>
      <c r="J37" s="96" t="e">
        <f t="shared" ca="1" si="14"/>
        <v>#NAME?</v>
      </c>
      <c r="K37" s="95" t="e">
        <f t="shared" ca="1" si="15"/>
        <v>#NAME?</v>
      </c>
    </row>
    <row r="38" spans="4:11" ht="10.5" x14ac:dyDescent="0.15">
      <c r="D38" s="92" t="e">
        <f t="shared" ca="1" si="8"/>
        <v>#NAME?</v>
      </c>
      <c r="E38" s="97" t="e">
        <f t="shared" ca="1" si="9"/>
        <v>#NAME?</v>
      </c>
      <c r="F38" s="97" t="e">
        <f t="shared" ca="1" si="10"/>
        <v>#NAME?</v>
      </c>
      <c r="G38" s="92" t="e">
        <f t="shared" ca="1" si="11"/>
        <v>#NAME?</v>
      </c>
      <c r="H38" s="96" t="e">
        <f t="shared" ca="1" si="12"/>
        <v>#NAME?</v>
      </c>
      <c r="I38" s="95" t="e">
        <f t="shared" ca="1" si="13"/>
        <v>#NAME?</v>
      </c>
      <c r="J38" s="96" t="e">
        <f t="shared" ca="1" si="14"/>
        <v>#NAME?</v>
      </c>
      <c r="K38" s="95" t="e">
        <f t="shared" ca="1" si="15"/>
        <v>#NAME?</v>
      </c>
    </row>
    <row r="39" spans="4:11" ht="10.5" x14ac:dyDescent="0.15">
      <c r="D39" s="92" t="e">
        <f t="shared" ca="1" si="8"/>
        <v>#NAME?</v>
      </c>
      <c r="E39" s="97" t="e">
        <f t="shared" ca="1" si="9"/>
        <v>#NAME?</v>
      </c>
      <c r="F39" s="97" t="e">
        <f t="shared" ca="1" si="10"/>
        <v>#NAME?</v>
      </c>
      <c r="G39" s="92" t="e">
        <f t="shared" ca="1" si="11"/>
        <v>#NAME?</v>
      </c>
      <c r="H39" s="96" t="e">
        <f t="shared" ca="1" si="12"/>
        <v>#NAME?</v>
      </c>
      <c r="I39" s="95" t="e">
        <f t="shared" ca="1" si="13"/>
        <v>#NAME?</v>
      </c>
      <c r="J39" s="96" t="e">
        <f t="shared" ca="1" si="14"/>
        <v>#NAME?</v>
      </c>
      <c r="K39" s="95" t="e">
        <f t="shared" ca="1" si="15"/>
        <v>#NAME?</v>
      </c>
    </row>
    <row r="40" spans="4:11" ht="10.5" x14ac:dyDescent="0.15">
      <c r="D40" s="92" t="e">
        <f t="shared" ca="1" si="8"/>
        <v>#NAME?</v>
      </c>
      <c r="E40" s="97" t="e">
        <f t="shared" ca="1" si="9"/>
        <v>#NAME?</v>
      </c>
      <c r="F40" s="97" t="e">
        <f t="shared" ca="1" si="10"/>
        <v>#NAME?</v>
      </c>
      <c r="G40" s="92" t="e">
        <f t="shared" ca="1" si="11"/>
        <v>#NAME?</v>
      </c>
      <c r="H40" s="96" t="e">
        <f t="shared" ca="1" si="12"/>
        <v>#NAME?</v>
      </c>
      <c r="I40" s="95" t="e">
        <f t="shared" ca="1" si="13"/>
        <v>#NAME?</v>
      </c>
      <c r="J40" s="96" t="e">
        <f t="shared" ca="1" si="14"/>
        <v>#NAME?</v>
      </c>
      <c r="K40" s="95" t="e">
        <f t="shared" ca="1" si="15"/>
        <v>#NAME?</v>
      </c>
    </row>
    <row r="41" spans="4:11" ht="10.5" x14ac:dyDescent="0.15">
      <c r="D41" s="92" t="e">
        <f t="shared" ca="1" si="8"/>
        <v>#NAME?</v>
      </c>
      <c r="E41" s="97" t="e">
        <f t="shared" ca="1" si="9"/>
        <v>#NAME?</v>
      </c>
      <c r="F41" s="97" t="e">
        <f t="shared" ca="1" si="10"/>
        <v>#NAME?</v>
      </c>
      <c r="G41" s="92" t="e">
        <f t="shared" ca="1" si="11"/>
        <v>#NAME?</v>
      </c>
      <c r="H41" s="96" t="e">
        <f t="shared" ca="1" si="12"/>
        <v>#NAME?</v>
      </c>
      <c r="I41" s="95" t="e">
        <f t="shared" ca="1" si="13"/>
        <v>#NAME?</v>
      </c>
      <c r="J41" s="96" t="e">
        <f t="shared" ca="1" si="14"/>
        <v>#NAME?</v>
      </c>
      <c r="K41" s="95" t="e">
        <f t="shared" ca="1" si="15"/>
        <v>#NAME?</v>
      </c>
    </row>
    <row r="42" spans="4:11" ht="10.5" x14ac:dyDescent="0.15">
      <c r="D42" s="92" t="e">
        <f t="shared" ca="1" si="8"/>
        <v>#NAME?</v>
      </c>
      <c r="E42" s="97" t="e">
        <f t="shared" ca="1" si="9"/>
        <v>#NAME?</v>
      </c>
      <c r="F42" s="97" t="e">
        <f t="shared" ca="1" si="10"/>
        <v>#NAME?</v>
      </c>
      <c r="G42" s="92" t="e">
        <f t="shared" ca="1" si="11"/>
        <v>#NAME?</v>
      </c>
      <c r="H42" s="96" t="e">
        <f t="shared" ca="1" si="12"/>
        <v>#NAME?</v>
      </c>
      <c r="I42" s="95" t="e">
        <f t="shared" ca="1" si="13"/>
        <v>#NAME?</v>
      </c>
      <c r="J42" s="96" t="e">
        <f t="shared" ca="1" si="14"/>
        <v>#NAME?</v>
      </c>
      <c r="K42" s="95" t="e">
        <f t="shared" ca="1" si="15"/>
        <v>#NAME?</v>
      </c>
    </row>
    <row r="43" spans="4:11" ht="10.5" x14ac:dyDescent="0.15">
      <c r="D43" s="92" t="e">
        <f t="shared" ca="1" si="8"/>
        <v>#NAME?</v>
      </c>
      <c r="E43" s="97" t="e">
        <f t="shared" ca="1" si="9"/>
        <v>#NAME?</v>
      </c>
      <c r="F43" s="97" t="e">
        <f t="shared" ca="1" si="10"/>
        <v>#NAME?</v>
      </c>
      <c r="G43" s="92" t="e">
        <f t="shared" ca="1" si="11"/>
        <v>#NAME?</v>
      </c>
      <c r="H43" s="96" t="e">
        <f t="shared" ca="1" si="12"/>
        <v>#NAME?</v>
      </c>
      <c r="I43" s="95" t="e">
        <f t="shared" ca="1" si="13"/>
        <v>#NAME?</v>
      </c>
      <c r="J43" s="96" t="e">
        <f t="shared" ca="1" si="14"/>
        <v>#NAME?</v>
      </c>
      <c r="K43" s="95" t="e">
        <f t="shared" ca="1" si="15"/>
        <v>#NAME?</v>
      </c>
    </row>
    <row r="44" spans="4:11" ht="10.5" x14ac:dyDescent="0.15">
      <c r="D44" s="92" t="e">
        <f t="shared" ca="1" si="8"/>
        <v>#NAME?</v>
      </c>
      <c r="E44" s="97" t="e">
        <f t="shared" ca="1" si="9"/>
        <v>#NAME?</v>
      </c>
      <c r="F44" s="97" t="e">
        <f t="shared" ca="1" si="10"/>
        <v>#NAME?</v>
      </c>
      <c r="G44" s="92" t="e">
        <f t="shared" ca="1" si="11"/>
        <v>#NAME?</v>
      </c>
      <c r="H44" s="96" t="e">
        <f t="shared" ca="1" si="12"/>
        <v>#NAME?</v>
      </c>
      <c r="I44" s="95" t="e">
        <f t="shared" ca="1" si="13"/>
        <v>#NAME?</v>
      </c>
      <c r="J44" s="96" t="e">
        <f t="shared" ca="1" si="14"/>
        <v>#NAME?</v>
      </c>
      <c r="K44" s="95" t="e">
        <f t="shared" ca="1" si="15"/>
        <v>#NAME?</v>
      </c>
    </row>
    <row r="45" spans="4:11" ht="10.5" x14ac:dyDescent="0.15">
      <c r="D45" s="92" t="e">
        <f t="shared" ca="1" si="8"/>
        <v>#NAME?</v>
      </c>
      <c r="E45" s="97" t="e">
        <f t="shared" ca="1" si="9"/>
        <v>#NAME?</v>
      </c>
      <c r="F45" s="97" t="e">
        <f t="shared" ca="1" si="10"/>
        <v>#NAME?</v>
      </c>
      <c r="G45" s="92" t="e">
        <f t="shared" ca="1" si="11"/>
        <v>#NAME?</v>
      </c>
      <c r="H45" s="96" t="e">
        <f t="shared" ca="1" si="12"/>
        <v>#NAME?</v>
      </c>
      <c r="I45" s="95" t="e">
        <f t="shared" ca="1" si="13"/>
        <v>#NAME?</v>
      </c>
      <c r="J45" s="96" t="e">
        <f t="shared" ca="1" si="14"/>
        <v>#NAME?</v>
      </c>
      <c r="K45" s="95" t="e">
        <f t="shared" ca="1" si="15"/>
        <v>#NAME?</v>
      </c>
    </row>
    <row r="46" spans="4:11" ht="10.5" x14ac:dyDescent="0.15">
      <c r="D46" s="92" t="e">
        <f t="shared" ca="1" si="8"/>
        <v>#NAME?</v>
      </c>
      <c r="E46" s="97" t="e">
        <f t="shared" ca="1" si="9"/>
        <v>#NAME?</v>
      </c>
      <c r="F46" s="97" t="e">
        <f t="shared" ca="1" si="10"/>
        <v>#NAME?</v>
      </c>
      <c r="G46" s="92" t="e">
        <f t="shared" ca="1" si="11"/>
        <v>#NAME?</v>
      </c>
      <c r="H46" s="96" t="e">
        <f t="shared" ca="1" si="12"/>
        <v>#NAME?</v>
      </c>
      <c r="I46" s="95" t="e">
        <f t="shared" ca="1" si="13"/>
        <v>#NAME?</v>
      </c>
      <c r="J46" s="96" t="e">
        <f t="shared" ca="1" si="14"/>
        <v>#NAME?</v>
      </c>
      <c r="K46" s="95" t="e">
        <f t="shared" ca="1" si="15"/>
        <v>#NAME?</v>
      </c>
    </row>
    <row r="47" spans="4:11" ht="10.5" x14ac:dyDescent="0.15">
      <c r="D47" s="92" t="e">
        <f t="shared" ca="1" si="8"/>
        <v>#NAME?</v>
      </c>
      <c r="E47" s="97" t="e">
        <f t="shared" ca="1" si="9"/>
        <v>#NAME?</v>
      </c>
      <c r="F47" s="97" t="e">
        <f t="shared" ca="1" si="10"/>
        <v>#NAME?</v>
      </c>
      <c r="G47" s="92" t="e">
        <f t="shared" ca="1" si="11"/>
        <v>#NAME?</v>
      </c>
      <c r="H47" s="96" t="e">
        <f t="shared" ca="1" si="12"/>
        <v>#NAME?</v>
      </c>
      <c r="I47" s="95" t="e">
        <f t="shared" ca="1" si="13"/>
        <v>#NAME?</v>
      </c>
      <c r="J47" s="96" t="e">
        <f t="shared" ca="1" si="14"/>
        <v>#NAME?</v>
      </c>
      <c r="K47" s="95" t="e">
        <f t="shared" ca="1" si="15"/>
        <v>#NAME?</v>
      </c>
    </row>
    <row r="48" spans="4:11" ht="10.5" x14ac:dyDescent="0.15">
      <c r="D48" s="92" t="e">
        <f t="shared" ca="1" si="8"/>
        <v>#NAME?</v>
      </c>
      <c r="E48" s="97" t="e">
        <f t="shared" ca="1" si="9"/>
        <v>#NAME?</v>
      </c>
      <c r="F48" s="97" t="e">
        <f t="shared" ca="1" si="10"/>
        <v>#NAME?</v>
      </c>
      <c r="G48" s="92" t="e">
        <f t="shared" ca="1" si="11"/>
        <v>#NAME?</v>
      </c>
      <c r="H48" s="96" t="e">
        <f t="shared" ca="1" si="12"/>
        <v>#NAME?</v>
      </c>
      <c r="I48" s="95" t="e">
        <f t="shared" ca="1" si="13"/>
        <v>#NAME?</v>
      </c>
      <c r="J48" s="96" t="e">
        <f t="shared" ca="1" si="14"/>
        <v>#NAME?</v>
      </c>
      <c r="K48" s="95" t="e">
        <f t="shared" ca="1" si="15"/>
        <v>#NAME?</v>
      </c>
    </row>
    <row r="49" spans="4:11" ht="10.5" x14ac:dyDescent="0.15">
      <c r="D49" s="92" t="e">
        <f t="shared" ca="1" si="8"/>
        <v>#NAME?</v>
      </c>
      <c r="E49" s="97" t="e">
        <f t="shared" ca="1" si="9"/>
        <v>#NAME?</v>
      </c>
      <c r="F49" s="97" t="e">
        <f t="shared" ca="1" si="10"/>
        <v>#NAME?</v>
      </c>
      <c r="G49" s="92" t="e">
        <f t="shared" ca="1" si="11"/>
        <v>#NAME?</v>
      </c>
      <c r="H49" s="96" t="e">
        <f t="shared" ca="1" si="12"/>
        <v>#NAME?</v>
      </c>
      <c r="I49" s="95" t="e">
        <f t="shared" ca="1" si="13"/>
        <v>#NAME?</v>
      </c>
      <c r="J49" s="96" t="e">
        <f t="shared" ca="1" si="14"/>
        <v>#NAME?</v>
      </c>
      <c r="K49" s="95" t="e">
        <f t="shared" ca="1" si="15"/>
        <v>#NAME?</v>
      </c>
    </row>
    <row r="50" spans="4:11" ht="10.5" x14ac:dyDescent="0.15">
      <c r="D50" s="92" t="e">
        <f t="shared" ca="1" si="8"/>
        <v>#NAME?</v>
      </c>
      <c r="E50" s="97" t="e">
        <f t="shared" ca="1" si="9"/>
        <v>#NAME?</v>
      </c>
      <c r="F50" s="97" t="e">
        <f t="shared" ca="1" si="10"/>
        <v>#NAME?</v>
      </c>
      <c r="G50" s="92" t="e">
        <f t="shared" ca="1" si="11"/>
        <v>#NAME?</v>
      </c>
      <c r="H50" s="96" t="e">
        <f t="shared" ca="1" si="12"/>
        <v>#NAME?</v>
      </c>
      <c r="I50" s="95" t="e">
        <f t="shared" ca="1" si="13"/>
        <v>#NAME?</v>
      </c>
      <c r="J50" s="96" t="e">
        <f t="shared" ca="1" si="14"/>
        <v>#NAME?</v>
      </c>
      <c r="K50" s="95" t="e">
        <f t="shared" ca="1" si="15"/>
        <v>#NAME?</v>
      </c>
    </row>
    <row r="51" spans="4:11" ht="10.5" x14ac:dyDescent="0.15">
      <c r="D51" s="92" t="e">
        <f t="shared" ca="1" si="8"/>
        <v>#NAME?</v>
      </c>
      <c r="E51" s="97" t="e">
        <f t="shared" ca="1" si="9"/>
        <v>#NAME?</v>
      </c>
      <c r="F51" s="97" t="e">
        <f t="shared" ca="1" si="10"/>
        <v>#NAME?</v>
      </c>
      <c r="G51" s="92" t="e">
        <f t="shared" ca="1" si="11"/>
        <v>#NAME?</v>
      </c>
      <c r="H51" s="96" t="e">
        <f t="shared" ca="1" si="12"/>
        <v>#NAME?</v>
      </c>
      <c r="I51" s="95" t="e">
        <f t="shared" ca="1" si="13"/>
        <v>#NAME?</v>
      </c>
      <c r="J51" s="96" t="e">
        <f t="shared" ca="1" si="14"/>
        <v>#NAME?</v>
      </c>
      <c r="K51" s="95" t="e">
        <f t="shared" ca="1" si="15"/>
        <v>#NAME?</v>
      </c>
    </row>
    <row r="52" spans="4:11" ht="10.5" x14ac:dyDescent="0.15">
      <c r="D52" s="92" t="e">
        <f t="shared" ca="1" si="8"/>
        <v>#NAME?</v>
      </c>
      <c r="E52" s="97" t="e">
        <f t="shared" ca="1" si="9"/>
        <v>#NAME?</v>
      </c>
      <c r="F52" s="97" t="e">
        <f t="shared" ca="1" si="10"/>
        <v>#NAME?</v>
      </c>
      <c r="G52" s="92" t="e">
        <f t="shared" ca="1" si="11"/>
        <v>#NAME?</v>
      </c>
      <c r="H52" s="96" t="e">
        <f t="shared" ca="1" si="12"/>
        <v>#NAME?</v>
      </c>
      <c r="I52" s="95" t="e">
        <f t="shared" ca="1" si="13"/>
        <v>#NAME?</v>
      </c>
      <c r="J52" s="96" t="e">
        <f t="shared" ca="1" si="14"/>
        <v>#NAME?</v>
      </c>
      <c r="K52" s="95" t="e">
        <f t="shared" ca="1" si="15"/>
        <v>#NAME?</v>
      </c>
    </row>
    <row r="53" spans="4:11" ht="10.5" x14ac:dyDescent="0.15">
      <c r="D53" s="92" t="e">
        <f t="shared" ca="1" si="8"/>
        <v>#NAME?</v>
      </c>
      <c r="E53" s="97" t="e">
        <f t="shared" ca="1" si="9"/>
        <v>#NAME?</v>
      </c>
      <c r="F53" s="97" t="e">
        <f t="shared" ca="1" si="10"/>
        <v>#NAME?</v>
      </c>
      <c r="G53" s="92" t="e">
        <f t="shared" ca="1" si="11"/>
        <v>#NAME?</v>
      </c>
      <c r="H53" s="96" t="e">
        <f t="shared" ca="1" si="12"/>
        <v>#NAME?</v>
      </c>
      <c r="I53" s="95" t="e">
        <f t="shared" ca="1" si="13"/>
        <v>#NAME?</v>
      </c>
      <c r="J53" s="96" t="e">
        <f t="shared" ca="1" si="14"/>
        <v>#NAME?</v>
      </c>
      <c r="K53" s="95" t="e">
        <f t="shared" ca="1" si="15"/>
        <v>#NAME?</v>
      </c>
    </row>
    <row r="54" spans="4:11" ht="10.5" x14ac:dyDescent="0.15">
      <c r="D54" s="92" t="e">
        <f t="shared" ca="1" si="8"/>
        <v>#NAME?</v>
      </c>
      <c r="E54" s="97" t="e">
        <f t="shared" ca="1" si="9"/>
        <v>#NAME?</v>
      </c>
      <c r="F54" s="97" t="e">
        <f t="shared" ca="1" si="10"/>
        <v>#NAME?</v>
      </c>
      <c r="G54" s="92" t="e">
        <f t="shared" ca="1" si="11"/>
        <v>#NAME?</v>
      </c>
      <c r="H54" s="96" t="e">
        <f t="shared" ca="1" si="12"/>
        <v>#NAME?</v>
      </c>
      <c r="I54" s="95" t="e">
        <f t="shared" ca="1" si="13"/>
        <v>#NAME?</v>
      </c>
      <c r="J54" s="96" t="e">
        <f t="shared" ca="1" si="14"/>
        <v>#NAME?</v>
      </c>
      <c r="K54" s="95" t="e">
        <f t="shared" ca="1" si="15"/>
        <v>#NAME?</v>
      </c>
    </row>
    <row r="55" spans="4:11" ht="10.5" x14ac:dyDescent="0.15">
      <c r="D55" s="92" t="e">
        <f t="shared" ca="1" si="8"/>
        <v>#NAME?</v>
      </c>
      <c r="E55" s="97" t="e">
        <f t="shared" ca="1" si="9"/>
        <v>#NAME?</v>
      </c>
      <c r="F55" s="97" t="e">
        <f t="shared" ca="1" si="10"/>
        <v>#NAME?</v>
      </c>
      <c r="G55" s="92" t="e">
        <f t="shared" ca="1" si="11"/>
        <v>#NAME?</v>
      </c>
      <c r="H55" s="96" t="e">
        <f t="shared" ca="1" si="12"/>
        <v>#NAME?</v>
      </c>
      <c r="I55" s="95" t="e">
        <f t="shared" ca="1" si="13"/>
        <v>#NAME?</v>
      </c>
      <c r="J55" s="96" t="e">
        <f t="shared" ca="1" si="14"/>
        <v>#NAME?</v>
      </c>
      <c r="K55" s="95" t="e">
        <f t="shared" ca="1" si="15"/>
        <v>#NAME?</v>
      </c>
    </row>
    <row r="56" spans="4:11" ht="10.5" x14ac:dyDescent="0.15">
      <c r="D56" s="92" t="e">
        <f t="shared" ca="1" si="8"/>
        <v>#NAME?</v>
      </c>
      <c r="E56" s="97" t="e">
        <f t="shared" ca="1" si="9"/>
        <v>#NAME?</v>
      </c>
      <c r="F56" s="97" t="e">
        <f t="shared" ca="1" si="10"/>
        <v>#NAME?</v>
      </c>
      <c r="G56" s="92" t="e">
        <f t="shared" ca="1" si="11"/>
        <v>#NAME?</v>
      </c>
      <c r="H56" s="96" t="e">
        <f t="shared" ca="1" si="12"/>
        <v>#NAME?</v>
      </c>
      <c r="I56" s="95" t="e">
        <f t="shared" ca="1" si="13"/>
        <v>#NAME?</v>
      </c>
      <c r="J56" s="96" t="e">
        <f t="shared" ca="1" si="14"/>
        <v>#NAME?</v>
      </c>
      <c r="K56" s="95" t="e">
        <f t="shared" ca="1" si="15"/>
        <v>#NAME?</v>
      </c>
    </row>
    <row r="57" spans="4:11" ht="10.5" x14ac:dyDescent="0.15">
      <c r="D57" s="92" t="e">
        <f t="shared" ca="1" si="8"/>
        <v>#NAME?</v>
      </c>
      <c r="E57" s="97" t="e">
        <f t="shared" ca="1" si="9"/>
        <v>#NAME?</v>
      </c>
      <c r="F57" s="97" t="e">
        <f t="shared" ca="1" si="10"/>
        <v>#NAME?</v>
      </c>
      <c r="G57" s="92" t="e">
        <f t="shared" ca="1" si="11"/>
        <v>#NAME?</v>
      </c>
      <c r="H57" s="96" t="e">
        <f t="shared" ca="1" si="12"/>
        <v>#NAME?</v>
      </c>
      <c r="I57" s="95" t="e">
        <f t="shared" ca="1" si="13"/>
        <v>#NAME?</v>
      </c>
      <c r="J57" s="96" t="e">
        <f t="shared" ca="1" si="14"/>
        <v>#NAME?</v>
      </c>
      <c r="K57" s="95" t="e">
        <f t="shared" ca="1" si="15"/>
        <v>#NAME?</v>
      </c>
    </row>
    <row r="58" spans="4:11" ht="10.5" x14ac:dyDescent="0.15">
      <c r="D58" s="92" t="e">
        <f t="shared" ca="1" si="8"/>
        <v>#NAME?</v>
      </c>
      <c r="E58" s="97" t="e">
        <f t="shared" ca="1" si="9"/>
        <v>#NAME?</v>
      </c>
      <c r="F58" s="97" t="e">
        <f t="shared" ca="1" si="10"/>
        <v>#NAME?</v>
      </c>
      <c r="G58" s="92" t="e">
        <f t="shared" ca="1" si="11"/>
        <v>#NAME?</v>
      </c>
      <c r="H58" s="96" t="e">
        <f t="shared" ca="1" si="12"/>
        <v>#NAME?</v>
      </c>
      <c r="I58" s="95" t="e">
        <f t="shared" ca="1" si="13"/>
        <v>#NAME?</v>
      </c>
      <c r="J58" s="96" t="e">
        <f t="shared" ca="1" si="14"/>
        <v>#NAME?</v>
      </c>
      <c r="K58" s="95" t="e">
        <f t="shared" ca="1" si="15"/>
        <v>#NAME?</v>
      </c>
    </row>
    <row r="59" spans="4:11" ht="10.5" x14ac:dyDescent="0.15">
      <c r="D59" s="92" t="e">
        <f t="shared" ca="1" si="8"/>
        <v>#NAME?</v>
      </c>
      <c r="E59" s="97" t="e">
        <f t="shared" ca="1" si="9"/>
        <v>#NAME?</v>
      </c>
      <c r="F59" s="97" t="e">
        <f t="shared" ca="1" si="10"/>
        <v>#NAME?</v>
      </c>
      <c r="G59" s="92" t="e">
        <f t="shared" ca="1" si="11"/>
        <v>#NAME?</v>
      </c>
      <c r="H59" s="96" t="e">
        <f t="shared" ca="1" si="12"/>
        <v>#NAME?</v>
      </c>
      <c r="I59" s="95" t="e">
        <f t="shared" ca="1" si="13"/>
        <v>#NAME?</v>
      </c>
      <c r="J59" s="96" t="e">
        <f t="shared" ca="1" si="14"/>
        <v>#NAME?</v>
      </c>
      <c r="K59" s="95" t="e">
        <f t="shared" ca="1" si="15"/>
        <v>#NAME?</v>
      </c>
    </row>
    <row r="60" spans="4:11" ht="10.5" x14ac:dyDescent="0.15">
      <c r="D60" s="92" t="e">
        <f t="shared" ca="1" si="8"/>
        <v>#NAME?</v>
      </c>
      <c r="E60" s="97" t="e">
        <f t="shared" ca="1" si="9"/>
        <v>#NAME?</v>
      </c>
      <c r="F60" s="97" t="e">
        <f t="shared" ca="1" si="10"/>
        <v>#NAME?</v>
      </c>
      <c r="G60" s="92" t="e">
        <f t="shared" ca="1" si="11"/>
        <v>#NAME?</v>
      </c>
      <c r="H60" s="96" t="e">
        <f t="shared" ca="1" si="12"/>
        <v>#NAME?</v>
      </c>
      <c r="I60" s="95" t="e">
        <f t="shared" ca="1" si="13"/>
        <v>#NAME?</v>
      </c>
      <c r="J60" s="96" t="e">
        <f t="shared" ca="1" si="14"/>
        <v>#NAME?</v>
      </c>
      <c r="K60" s="95" t="e">
        <f t="shared" ca="1" si="15"/>
        <v>#NAME?</v>
      </c>
    </row>
    <row r="61" spans="4:11" ht="10.5" x14ac:dyDescent="0.15">
      <c r="D61" s="92" t="e">
        <f t="shared" ca="1" si="8"/>
        <v>#NAME?</v>
      </c>
      <c r="E61" s="97" t="e">
        <f t="shared" ca="1" si="9"/>
        <v>#NAME?</v>
      </c>
      <c r="F61" s="97" t="e">
        <f t="shared" ca="1" si="10"/>
        <v>#NAME?</v>
      </c>
      <c r="G61" s="92" t="e">
        <f t="shared" ca="1" si="11"/>
        <v>#NAME?</v>
      </c>
      <c r="H61" s="96" t="e">
        <f t="shared" ca="1" si="12"/>
        <v>#NAME?</v>
      </c>
      <c r="I61" s="95" t="e">
        <f t="shared" ca="1" si="13"/>
        <v>#NAME?</v>
      </c>
      <c r="J61" s="96" t="e">
        <f t="shared" ca="1" si="14"/>
        <v>#NAME?</v>
      </c>
      <c r="K61" s="95" t="e">
        <f t="shared" ca="1" si="15"/>
        <v>#NAME?</v>
      </c>
    </row>
    <row r="62" spans="4:11" ht="10.5" x14ac:dyDescent="0.15">
      <c r="D62" s="92" t="e">
        <f t="shared" ca="1" si="8"/>
        <v>#NAME?</v>
      </c>
      <c r="E62" s="97" t="e">
        <f t="shared" ca="1" si="9"/>
        <v>#NAME?</v>
      </c>
      <c r="F62" s="97" t="e">
        <f t="shared" ca="1" si="10"/>
        <v>#NAME?</v>
      </c>
      <c r="G62" s="92" t="e">
        <f t="shared" ca="1" si="11"/>
        <v>#NAME?</v>
      </c>
      <c r="H62" s="96" t="e">
        <f t="shared" ca="1" si="12"/>
        <v>#NAME?</v>
      </c>
      <c r="I62" s="95" t="e">
        <f t="shared" ca="1" si="13"/>
        <v>#NAME?</v>
      </c>
      <c r="J62" s="96" t="e">
        <f t="shared" ca="1" si="14"/>
        <v>#NAME?</v>
      </c>
      <c r="K62" s="95" t="e">
        <f t="shared" ca="1" si="15"/>
        <v>#NAME?</v>
      </c>
    </row>
    <row r="63" spans="4:11" ht="10.5" x14ac:dyDescent="0.15">
      <c r="D63" s="92" t="e">
        <f t="shared" ca="1" si="8"/>
        <v>#NAME?</v>
      </c>
      <c r="E63" s="97" t="e">
        <f t="shared" ca="1" si="9"/>
        <v>#NAME?</v>
      </c>
      <c r="F63" s="97" t="e">
        <f t="shared" ca="1" si="10"/>
        <v>#NAME?</v>
      </c>
      <c r="G63" s="92" t="e">
        <f t="shared" ca="1" si="11"/>
        <v>#NAME?</v>
      </c>
      <c r="H63" s="96" t="e">
        <f t="shared" ca="1" si="12"/>
        <v>#NAME?</v>
      </c>
      <c r="I63" s="95" t="e">
        <f t="shared" ca="1" si="13"/>
        <v>#NAME?</v>
      </c>
      <c r="J63" s="96" t="e">
        <f t="shared" ca="1" si="14"/>
        <v>#NAME?</v>
      </c>
      <c r="K63" s="95" t="e">
        <f t="shared" ca="1" si="15"/>
        <v>#NAME?</v>
      </c>
    </row>
    <row r="64" spans="4:11" ht="10.5" x14ac:dyDescent="0.15">
      <c r="D64" s="92" t="e">
        <f t="shared" ca="1" si="8"/>
        <v>#NAME?</v>
      </c>
      <c r="E64" s="97" t="e">
        <f t="shared" ca="1" si="9"/>
        <v>#NAME?</v>
      </c>
      <c r="F64" s="97" t="e">
        <f t="shared" ca="1" si="10"/>
        <v>#NAME?</v>
      </c>
      <c r="G64" s="92" t="e">
        <f t="shared" ca="1" si="11"/>
        <v>#NAME?</v>
      </c>
      <c r="H64" s="96" t="e">
        <f t="shared" ca="1" si="12"/>
        <v>#NAME?</v>
      </c>
      <c r="I64" s="95" t="e">
        <f t="shared" ca="1" si="13"/>
        <v>#NAME?</v>
      </c>
      <c r="J64" s="96" t="e">
        <f t="shared" ca="1" si="14"/>
        <v>#NAME?</v>
      </c>
      <c r="K64" s="95" t="e">
        <f t="shared" ca="1" si="15"/>
        <v>#NAME?</v>
      </c>
    </row>
    <row r="65" spans="4:11" ht="10.5" x14ac:dyDescent="0.15">
      <c r="D65" s="92" t="e">
        <f t="shared" ca="1" si="8"/>
        <v>#NAME?</v>
      </c>
      <c r="E65" s="97" t="e">
        <f t="shared" ca="1" si="9"/>
        <v>#NAME?</v>
      </c>
      <c r="F65" s="97" t="e">
        <f t="shared" ca="1" si="10"/>
        <v>#NAME?</v>
      </c>
      <c r="G65" s="92" t="e">
        <f t="shared" ca="1" si="11"/>
        <v>#NAME?</v>
      </c>
      <c r="H65" s="96" t="e">
        <f t="shared" ca="1" si="12"/>
        <v>#NAME?</v>
      </c>
      <c r="I65" s="95" t="e">
        <f t="shared" ca="1" si="13"/>
        <v>#NAME?</v>
      </c>
      <c r="J65" s="96" t="e">
        <f t="shared" ca="1" si="14"/>
        <v>#NAME?</v>
      </c>
      <c r="K65" s="95" t="e">
        <f t="shared" ca="1" si="15"/>
        <v>#NAME?</v>
      </c>
    </row>
    <row r="66" spans="4:11" ht="10.5" x14ac:dyDescent="0.15">
      <c r="D66" s="92" t="e">
        <f t="shared" ca="1" si="8"/>
        <v>#NAME?</v>
      </c>
      <c r="E66" s="97" t="e">
        <f t="shared" ca="1" si="9"/>
        <v>#NAME?</v>
      </c>
      <c r="F66" s="97" t="e">
        <f t="shared" ca="1" si="10"/>
        <v>#NAME?</v>
      </c>
      <c r="G66" s="92" t="e">
        <f t="shared" ca="1" si="11"/>
        <v>#NAME?</v>
      </c>
      <c r="H66" s="96" t="e">
        <f t="shared" ca="1" si="12"/>
        <v>#NAME?</v>
      </c>
      <c r="I66" s="95" t="e">
        <f t="shared" ca="1" si="13"/>
        <v>#NAME?</v>
      </c>
      <c r="J66" s="96" t="e">
        <f t="shared" ca="1" si="14"/>
        <v>#NAME?</v>
      </c>
      <c r="K66" s="95" t="e">
        <f t="shared" ca="1" si="15"/>
        <v>#NAME?</v>
      </c>
    </row>
    <row r="67" spans="4:11" ht="10.5" x14ac:dyDescent="0.15">
      <c r="D67" s="92" t="e">
        <f t="shared" ca="1" si="8"/>
        <v>#NAME?</v>
      </c>
      <c r="E67" s="97" t="e">
        <f t="shared" ca="1" si="9"/>
        <v>#NAME?</v>
      </c>
      <c r="F67" s="97" t="e">
        <f t="shared" ca="1" si="10"/>
        <v>#NAME?</v>
      </c>
      <c r="G67" s="92" t="e">
        <f t="shared" ca="1" si="11"/>
        <v>#NAME?</v>
      </c>
      <c r="H67" s="96" t="e">
        <f t="shared" ca="1" si="12"/>
        <v>#NAME?</v>
      </c>
      <c r="I67" s="95" t="e">
        <f t="shared" ca="1" si="13"/>
        <v>#NAME?</v>
      </c>
      <c r="J67" s="96" t="e">
        <f t="shared" ca="1" si="14"/>
        <v>#NAME?</v>
      </c>
      <c r="K67" s="95" t="e">
        <f t="shared" ca="1" si="15"/>
        <v>#NAME?</v>
      </c>
    </row>
    <row r="68" spans="4:11" ht="10.5" x14ac:dyDescent="0.15">
      <c r="D68" s="92" t="e">
        <f t="shared" ca="1" si="8"/>
        <v>#NAME?</v>
      </c>
      <c r="E68" s="97" t="e">
        <f t="shared" ca="1" si="9"/>
        <v>#NAME?</v>
      </c>
      <c r="F68" s="97" t="e">
        <f t="shared" ca="1" si="10"/>
        <v>#NAME?</v>
      </c>
      <c r="G68" s="92" t="e">
        <f t="shared" ca="1" si="11"/>
        <v>#NAME?</v>
      </c>
      <c r="H68" s="96" t="e">
        <f t="shared" ca="1" si="12"/>
        <v>#NAME?</v>
      </c>
      <c r="I68" s="95" t="e">
        <f t="shared" ca="1" si="13"/>
        <v>#NAME?</v>
      </c>
      <c r="J68" s="96" t="e">
        <f t="shared" ca="1" si="14"/>
        <v>#NAME?</v>
      </c>
      <c r="K68" s="95" t="e">
        <f t="shared" ca="1" si="15"/>
        <v>#NAME?</v>
      </c>
    </row>
    <row r="69" spans="4:11" ht="10.5" x14ac:dyDescent="0.15">
      <c r="D69" s="92" t="e">
        <f t="shared" ca="1" si="8"/>
        <v>#NAME?</v>
      </c>
      <c r="E69" s="97" t="e">
        <f t="shared" ca="1" si="9"/>
        <v>#NAME?</v>
      </c>
      <c r="F69" s="97" t="e">
        <f t="shared" ca="1" si="10"/>
        <v>#NAME?</v>
      </c>
      <c r="G69" s="92" t="e">
        <f t="shared" ca="1" si="11"/>
        <v>#NAME?</v>
      </c>
      <c r="H69" s="96" t="e">
        <f t="shared" ca="1" si="12"/>
        <v>#NAME?</v>
      </c>
      <c r="I69" s="95" t="e">
        <f t="shared" ca="1" si="13"/>
        <v>#NAME?</v>
      </c>
      <c r="J69" s="96" t="e">
        <f t="shared" ca="1" si="14"/>
        <v>#NAME?</v>
      </c>
      <c r="K69" s="95" t="e">
        <f t="shared" ca="1" si="15"/>
        <v>#NAME?</v>
      </c>
    </row>
    <row r="70" spans="4:11" ht="10.5" x14ac:dyDescent="0.15">
      <c r="D70" s="92" t="e">
        <f t="shared" ca="1" si="8"/>
        <v>#NAME?</v>
      </c>
      <c r="E70" s="97" t="e">
        <f t="shared" ca="1" si="9"/>
        <v>#NAME?</v>
      </c>
      <c r="F70" s="97" t="e">
        <f t="shared" ca="1" si="10"/>
        <v>#NAME?</v>
      </c>
      <c r="G70" s="92" t="e">
        <f t="shared" ca="1" si="11"/>
        <v>#NAME?</v>
      </c>
      <c r="H70" s="96" t="e">
        <f t="shared" ca="1" si="12"/>
        <v>#NAME?</v>
      </c>
      <c r="I70" s="95" t="e">
        <f t="shared" ca="1" si="13"/>
        <v>#NAME?</v>
      </c>
      <c r="J70" s="96" t="e">
        <f t="shared" ca="1" si="14"/>
        <v>#NAME?</v>
      </c>
      <c r="K70" s="95" t="e">
        <f t="shared" ca="1" si="15"/>
        <v>#NAME?</v>
      </c>
    </row>
    <row r="71" spans="4:11" ht="10.5" x14ac:dyDescent="0.15">
      <c r="D71" s="92" t="e">
        <f t="shared" ca="1" si="8"/>
        <v>#NAME?</v>
      </c>
      <c r="E71" s="97" t="e">
        <f t="shared" ca="1" si="9"/>
        <v>#NAME?</v>
      </c>
      <c r="F71" s="97" t="e">
        <f t="shared" ca="1" si="10"/>
        <v>#NAME?</v>
      </c>
      <c r="G71" s="92" t="e">
        <f t="shared" ca="1" si="11"/>
        <v>#NAME?</v>
      </c>
      <c r="H71" s="96" t="e">
        <f t="shared" ca="1" si="12"/>
        <v>#NAME?</v>
      </c>
      <c r="I71" s="95" t="e">
        <f t="shared" ca="1" si="13"/>
        <v>#NAME?</v>
      </c>
      <c r="J71" s="96" t="e">
        <f t="shared" ca="1" si="14"/>
        <v>#NAME?</v>
      </c>
      <c r="K71" s="95" t="e">
        <f t="shared" ca="1" si="15"/>
        <v>#NAME?</v>
      </c>
    </row>
    <row r="72" spans="4:11" ht="10.5" x14ac:dyDescent="0.15">
      <c r="D72" s="92" t="e">
        <f t="shared" ca="1" si="8"/>
        <v>#NAME?</v>
      </c>
      <c r="E72" s="97" t="e">
        <f t="shared" ca="1" si="9"/>
        <v>#NAME?</v>
      </c>
      <c r="F72" s="97" t="e">
        <f t="shared" ca="1" si="10"/>
        <v>#NAME?</v>
      </c>
      <c r="G72" s="92" t="e">
        <f t="shared" ca="1" si="11"/>
        <v>#NAME?</v>
      </c>
      <c r="H72" s="96" t="e">
        <f t="shared" ca="1" si="12"/>
        <v>#NAME?</v>
      </c>
      <c r="I72" s="95" t="e">
        <f t="shared" ca="1" si="13"/>
        <v>#NAME?</v>
      </c>
      <c r="J72" s="96" t="e">
        <f t="shared" ca="1" si="14"/>
        <v>#NAME?</v>
      </c>
      <c r="K72" s="95" t="e">
        <f t="shared" ca="1" si="15"/>
        <v>#NAME?</v>
      </c>
    </row>
    <row r="73" spans="4:11" ht="10.5" x14ac:dyDescent="0.15">
      <c r="D73" s="92" t="e">
        <f t="shared" ca="1" si="8"/>
        <v>#NAME?</v>
      </c>
      <c r="E73" s="97" t="e">
        <f t="shared" ca="1" si="9"/>
        <v>#NAME?</v>
      </c>
      <c r="F73" s="97" t="e">
        <f t="shared" ca="1" si="10"/>
        <v>#NAME?</v>
      </c>
      <c r="G73" s="92" t="e">
        <f t="shared" ca="1" si="11"/>
        <v>#NAME?</v>
      </c>
      <c r="H73" s="96" t="e">
        <f t="shared" ca="1" si="12"/>
        <v>#NAME?</v>
      </c>
      <c r="I73" s="95" t="e">
        <f t="shared" ca="1" si="13"/>
        <v>#NAME?</v>
      </c>
      <c r="J73" s="96" t="e">
        <f t="shared" ca="1" si="14"/>
        <v>#NAME?</v>
      </c>
      <c r="K73" s="95" t="e">
        <f t="shared" ca="1" si="15"/>
        <v>#NAME?</v>
      </c>
    </row>
    <row r="74" spans="4:11" ht="10.5" x14ac:dyDescent="0.15">
      <c r="D74" s="92" t="e">
        <f t="shared" ca="1" si="8"/>
        <v>#NAME?</v>
      </c>
      <c r="E74" s="97" t="e">
        <f t="shared" ca="1" si="9"/>
        <v>#NAME?</v>
      </c>
      <c r="F74" s="97" t="e">
        <f t="shared" ca="1" si="10"/>
        <v>#NAME?</v>
      </c>
      <c r="G74" s="92" t="e">
        <f t="shared" ca="1" si="11"/>
        <v>#NAME?</v>
      </c>
      <c r="H74" s="96" t="e">
        <f t="shared" ca="1" si="12"/>
        <v>#NAME?</v>
      </c>
      <c r="I74" s="95" t="e">
        <f t="shared" ca="1" si="13"/>
        <v>#NAME?</v>
      </c>
      <c r="J74" s="96" t="e">
        <f t="shared" ca="1" si="14"/>
        <v>#NAME?</v>
      </c>
      <c r="K74" s="95" t="e">
        <f t="shared" ca="1" si="15"/>
        <v>#NAME?</v>
      </c>
    </row>
    <row r="75" spans="4:11" ht="10.5" x14ac:dyDescent="0.15">
      <c r="D75" s="92" t="e">
        <f t="shared" ca="1" si="8"/>
        <v>#NAME?</v>
      </c>
      <c r="E75" s="97" t="e">
        <f t="shared" ca="1" si="9"/>
        <v>#NAME?</v>
      </c>
      <c r="F75" s="97" t="e">
        <f t="shared" ca="1" si="10"/>
        <v>#NAME?</v>
      </c>
      <c r="G75" s="92" t="e">
        <f t="shared" ca="1" si="11"/>
        <v>#NAME?</v>
      </c>
      <c r="H75" s="96" t="e">
        <f t="shared" ca="1" si="12"/>
        <v>#NAME?</v>
      </c>
      <c r="I75" s="95" t="e">
        <f t="shared" ca="1" si="13"/>
        <v>#NAME?</v>
      </c>
      <c r="J75" s="96" t="e">
        <f t="shared" ca="1" si="14"/>
        <v>#NAME?</v>
      </c>
      <c r="K75" s="95" t="e">
        <f t="shared" ca="1" si="15"/>
        <v>#NAME?</v>
      </c>
    </row>
    <row r="76" spans="4:11" ht="10.5" x14ac:dyDescent="0.15">
      <c r="D76" s="92" t="e">
        <f t="shared" ca="1" si="8"/>
        <v>#NAME?</v>
      </c>
      <c r="E76" s="97" t="e">
        <f t="shared" ca="1" si="9"/>
        <v>#NAME?</v>
      </c>
      <c r="F76" s="97" t="e">
        <f t="shared" ca="1" si="10"/>
        <v>#NAME?</v>
      </c>
      <c r="G76" s="92" t="e">
        <f t="shared" ca="1" si="11"/>
        <v>#NAME?</v>
      </c>
      <c r="H76" s="96" t="e">
        <f t="shared" ca="1" si="12"/>
        <v>#NAME?</v>
      </c>
      <c r="I76" s="95" t="e">
        <f t="shared" ca="1" si="13"/>
        <v>#NAME?</v>
      </c>
      <c r="J76" s="96" t="e">
        <f t="shared" ca="1" si="14"/>
        <v>#NAME?</v>
      </c>
      <c r="K76" s="95" t="e">
        <f t="shared" ca="1" si="15"/>
        <v>#NAME?</v>
      </c>
    </row>
    <row r="77" spans="4:11" ht="10.5" x14ac:dyDescent="0.15">
      <c r="D77" s="92" t="e">
        <f t="shared" ca="1" si="8"/>
        <v>#NAME?</v>
      </c>
      <c r="E77" s="97" t="e">
        <f t="shared" ca="1" si="9"/>
        <v>#NAME?</v>
      </c>
      <c r="F77" s="97" t="e">
        <f t="shared" ca="1" si="10"/>
        <v>#NAME?</v>
      </c>
      <c r="G77" s="92" t="e">
        <f t="shared" ca="1" si="11"/>
        <v>#NAME?</v>
      </c>
      <c r="H77" s="96" t="e">
        <f t="shared" ca="1" si="12"/>
        <v>#NAME?</v>
      </c>
      <c r="I77" s="95" t="e">
        <f t="shared" ca="1" si="13"/>
        <v>#NAME?</v>
      </c>
      <c r="J77" s="96" t="e">
        <f t="shared" ca="1" si="14"/>
        <v>#NAME?</v>
      </c>
      <c r="K77" s="95" t="e">
        <f t="shared" ca="1" si="15"/>
        <v>#NAME?</v>
      </c>
    </row>
    <row r="78" spans="4:11" ht="10.5" x14ac:dyDescent="0.15">
      <c r="D78" s="92" t="e">
        <f t="shared" ca="1" si="8"/>
        <v>#NAME?</v>
      </c>
      <c r="E78" s="97" t="e">
        <f t="shared" ca="1" si="9"/>
        <v>#NAME?</v>
      </c>
      <c r="F78" s="97" t="e">
        <f t="shared" ca="1" si="10"/>
        <v>#NAME?</v>
      </c>
      <c r="G78" s="92" t="e">
        <f t="shared" ca="1" si="11"/>
        <v>#NAME?</v>
      </c>
      <c r="H78" s="96" t="e">
        <f t="shared" ca="1" si="12"/>
        <v>#NAME?</v>
      </c>
      <c r="I78" s="95" t="e">
        <f t="shared" ca="1" si="13"/>
        <v>#NAME?</v>
      </c>
      <c r="J78" s="96" t="e">
        <f t="shared" ca="1" si="14"/>
        <v>#NAME?</v>
      </c>
      <c r="K78" s="95" t="e">
        <f t="shared" ca="1" si="15"/>
        <v>#NAME?</v>
      </c>
    </row>
    <row r="79" spans="4:11" ht="10.5" x14ac:dyDescent="0.15">
      <c r="D79" s="92" t="e">
        <f t="shared" ca="1" si="8"/>
        <v>#NAME?</v>
      </c>
      <c r="E79" s="97" t="e">
        <f t="shared" ca="1" si="9"/>
        <v>#NAME?</v>
      </c>
      <c r="F79" s="97" t="e">
        <f t="shared" ca="1" si="10"/>
        <v>#NAME?</v>
      </c>
      <c r="G79" s="92" t="e">
        <f t="shared" ca="1" si="11"/>
        <v>#NAME?</v>
      </c>
      <c r="H79" s="96" t="e">
        <f t="shared" ca="1" si="12"/>
        <v>#NAME?</v>
      </c>
      <c r="I79" s="95" t="e">
        <f t="shared" ca="1" si="13"/>
        <v>#NAME?</v>
      </c>
      <c r="J79" s="96" t="e">
        <f t="shared" ca="1" si="14"/>
        <v>#NAME?</v>
      </c>
      <c r="K79" s="95" t="e">
        <f t="shared" ca="1" si="15"/>
        <v>#NAME?</v>
      </c>
    </row>
    <row r="80" spans="4:11" ht="10.5" x14ac:dyDescent="0.15">
      <c r="D80" s="92" t="e">
        <f t="shared" ca="1" si="8"/>
        <v>#NAME?</v>
      </c>
      <c r="E80" s="97" t="e">
        <f t="shared" ca="1" si="9"/>
        <v>#NAME?</v>
      </c>
      <c r="F80" s="97" t="e">
        <f t="shared" ca="1" si="10"/>
        <v>#NAME?</v>
      </c>
      <c r="G80" s="92" t="e">
        <f t="shared" ca="1" si="11"/>
        <v>#NAME?</v>
      </c>
      <c r="H80" s="96" t="e">
        <f t="shared" ca="1" si="12"/>
        <v>#NAME?</v>
      </c>
      <c r="I80" s="95" t="e">
        <f t="shared" ca="1" si="13"/>
        <v>#NAME?</v>
      </c>
      <c r="J80" s="96" t="e">
        <f t="shared" ca="1" si="14"/>
        <v>#NAME?</v>
      </c>
      <c r="K80" s="95" t="e">
        <f t="shared" ca="1" si="15"/>
        <v>#NAME?</v>
      </c>
    </row>
    <row r="81" spans="4:11" ht="10.5" x14ac:dyDescent="0.15">
      <c r="D81" s="92" t="e">
        <f t="shared" ca="1" si="8"/>
        <v>#NAME?</v>
      </c>
      <c r="E81" s="97" t="e">
        <f t="shared" ca="1" si="9"/>
        <v>#NAME?</v>
      </c>
      <c r="F81" s="97" t="e">
        <f t="shared" ca="1" si="10"/>
        <v>#NAME?</v>
      </c>
      <c r="G81" s="92" t="e">
        <f t="shared" ca="1" si="11"/>
        <v>#NAME?</v>
      </c>
      <c r="H81" s="96" t="e">
        <f t="shared" ca="1" si="12"/>
        <v>#NAME?</v>
      </c>
      <c r="I81" s="95" t="e">
        <f t="shared" ca="1" si="13"/>
        <v>#NAME?</v>
      </c>
      <c r="J81" s="96" t="e">
        <f t="shared" ca="1" si="14"/>
        <v>#NAME?</v>
      </c>
      <c r="K81" s="95" t="e">
        <f t="shared" ca="1" si="15"/>
        <v>#NAME?</v>
      </c>
    </row>
    <row r="82" spans="4:11" ht="10.5" x14ac:dyDescent="0.15">
      <c r="D82" s="92" t="e">
        <f t="shared" ca="1" si="8"/>
        <v>#NAME?</v>
      </c>
      <c r="E82" s="97" t="e">
        <f t="shared" ca="1" si="9"/>
        <v>#NAME?</v>
      </c>
      <c r="F82" s="97" t="e">
        <f t="shared" ca="1" si="10"/>
        <v>#NAME?</v>
      </c>
      <c r="G82" s="92" t="e">
        <f t="shared" ca="1" si="11"/>
        <v>#NAME?</v>
      </c>
      <c r="H82" s="96" t="e">
        <f t="shared" ca="1" si="12"/>
        <v>#NAME?</v>
      </c>
      <c r="I82" s="95" t="e">
        <f t="shared" ca="1" si="13"/>
        <v>#NAME?</v>
      </c>
      <c r="J82" s="96" t="e">
        <f t="shared" ca="1" si="14"/>
        <v>#NAME?</v>
      </c>
      <c r="K82" s="95" t="e">
        <f t="shared" ca="1" si="15"/>
        <v>#NAME?</v>
      </c>
    </row>
    <row r="83" spans="4:11" ht="10.5" x14ac:dyDescent="0.15">
      <c r="D83" s="92" t="e">
        <f t="shared" ca="1" si="8"/>
        <v>#NAME?</v>
      </c>
      <c r="E83" s="97" t="e">
        <f t="shared" ca="1" si="9"/>
        <v>#NAME?</v>
      </c>
      <c r="F83" s="97" t="e">
        <f t="shared" ca="1" si="10"/>
        <v>#NAME?</v>
      </c>
      <c r="G83" s="92" t="e">
        <f t="shared" ca="1" si="11"/>
        <v>#NAME?</v>
      </c>
      <c r="H83" s="96" t="e">
        <f t="shared" ca="1" si="12"/>
        <v>#NAME?</v>
      </c>
      <c r="I83" s="95" t="e">
        <f t="shared" ca="1" si="13"/>
        <v>#NAME?</v>
      </c>
      <c r="J83" s="96" t="e">
        <f t="shared" ca="1" si="14"/>
        <v>#NAME?</v>
      </c>
      <c r="K83" s="95" t="e">
        <f t="shared" ca="1" si="15"/>
        <v>#NAME?</v>
      </c>
    </row>
    <row r="84" spans="4:11" ht="10.5" x14ac:dyDescent="0.15">
      <c r="D84" s="92" t="e">
        <f t="shared" ca="1" si="8"/>
        <v>#NAME?</v>
      </c>
      <c r="E84" s="97" t="e">
        <f t="shared" ca="1" si="9"/>
        <v>#NAME?</v>
      </c>
      <c r="F84" s="97" t="e">
        <f t="shared" ca="1" si="10"/>
        <v>#NAME?</v>
      </c>
      <c r="G84" s="92" t="e">
        <f t="shared" ca="1" si="11"/>
        <v>#NAME?</v>
      </c>
      <c r="H84" s="96" t="e">
        <f t="shared" ca="1" si="12"/>
        <v>#NAME?</v>
      </c>
      <c r="I84" s="95" t="e">
        <f t="shared" ca="1" si="13"/>
        <v>#NAME?</v>
      </c>
      <c r="J84" s="96" t="e">
        <f t="shared" ca="1" si="14"/>
        <v>#NAME?</v>
      </c>
      <c r="K84" s="95" t="e">
        <f t="shared" ca="1" si="15"/>
        <v>#NAME?</v>
      </c>
    </row>
    <row r="85" spans="4:11" ht="10.5" x14ac:dyDescent="0.15">
      <c r="D85" s="92" t="e">
        <f t="shared" ca="1" si="8"/>
        <v>#NAME?</v>
      </c>
      <c r="E85" s="97" t="e">
        <f t="shared" ca="1" si="9"/>
        <v>#NAME?</v>
      </c>
      <c r="F85" s="97" t="e">
        <f t="shared" ca="1" si="10"/>
        <v>#NAME?</v>
      </c>
      <c r="G85" s="92" t="e">
        <f t="shared" ca="1" si="11"/>
        <v>#NAME?</v>
      </c>
      <c r="H85" s="96" t="e">
        <f t="shared" ca="1" si="12"/>
        <v>#NAME?</v>
      </c>
      <c r="I85" s="95" t="e">
        <f t="shared" ca="1" si="13"/>
        <v>#NAME?</v>
      </c>
      <c r="J85" s="96" t="e">
        <f t="shared" ca="1" si="14"/>
        <v>#NAME?</v>
      </c>
      <c r="K85" s="95" t="e">
        <f t="shared" ca="1" si="15"/>
        <v>#NAME?</v>
      </c>
    </row>
    <row r="86" spans="4:11" ht="10.5" x14ac:dyDescent="0.15">
      <c r="D86" s="92" t="e">
        <f t="shared" ca="1" si="8"/>
        <v>#NAME?</v>
      </c>
      <c r="E86" s="97" t="e">
        <f t="shared" ca="1" si="9"/>
        <v>#NAME?</v>
      </c>
      <c r="F86" s="97" t="e">
        <f t="shared" ca="1" si="10"/>
        <v>#NAME?</v>
      </c>
      <c r="G86" s="92" t="e">
        <f t="shared" ca="1" si="11"/>
        <v>#NAME?</v>
      </c>
      <c r="H86" s="96" t="e">
        <f t="shared" ca="1" si="12"/>
        <v>#NAME?</v>
      </c>
      <c r="I86" s="95" t="e">
        <f t="shared" ca="1" si="13"/>
        <v>#NAME?</v>
      </c>
      <c r="J86" s="96" t="e">
        <f t="shared" ca="1" si="14"/>
        <v>#NAME?</v>
      </c>
      <c r="K86" s="95" t="e">
        <f t="shared" ca="1" si="15"/>
        <v>#NAME?</v>
      </c>
    </row>
    <row r="87" spans="4:11" ht="10.5" x14ac:dyDescent="0.15">
      <c r="D87" s="92" t="e">
        <f t="shared" ca="1" si="8"/>
        <v>#NAME?</v>
      </c>
      <c r="E87" s="97" t="e">
        <f t="shared" ca="1" si="9"/>
        <v>#NAME?</v>
      </c>
      <c r="F87" s="97" t="e">
        <f t="shared" ca="1" si="10"/>
        <v>#NAME?</v>
      </c>
      <c r="G87" s="92" t="e">
        <f t="shared" ca="1" si="11"/>
        <v>#NAME?</v>
      </c>
      <c r="H87" s="96" t="e">
        <f t="shared" ca="1" si="12"/>
        <v>#NAME?</v>
      </c>
      <c r="I87" s="95" t="e">
        <f t="shared" ca="1" si="13"/>
        <v>#NAME?</v>
      </c>
      <c r="J87" s="96" t="e">
        <f t="shared" ca="1" si="14"/>
        <v>#NAME?</v>
      </c>
      <c r="K87" s="95" t="e">
        <f t="shared" ca="1" si="15"/>
        <v>#NAME?</v>
      </c>
    </row>
    <row r="88" spans="4:11" ht="10.5" x14ac:dyDescent="0.15">
      <c r="D88" s="92" t="e">
        <f t="shared" ref="D88:D149" ca="1" si="16">gcdist(A87,B87,A88,B88)</f>
        <v>#NAME?</v>
      </c>
      <c r="E88" s="97" t="e">
        <f t="shared" ref="E88:E149" ca="1" si="17">D88/1000</f>
        <v>#NAME?</v>
      </c>
      <c r="F88" s="97" t="e">
        <f t="shared" ref="F88:F149" ca="1" si="18">E88/1.609344</f>
        <v>#NAME?</v>
      </c>
      <c r="G88" s="92" t="e">
        <f t="shared" ref="G88:G149" ca="1" si="19">F88*5280</f>
        <v>#NAME?</v>
      </c>
      <c r="H88" s="96" t="e">
        <f t="shared" ref="H88:H149" ca="1" si="20">H87+G88</f>
        <v>#NAME?</v>
      </c>
      <c r="I88" s="95" t="e">
        <f t="shared" ref="I88:I149" ca="1" si="21">I87+D88</f>
        <v>#NAME?</v>
      </c>
      <c r="J88" s="96" t="e">
        <f t="shared" ref="J88:J149" ca="1" si="22">ROUND(I88,0)</f>
        <v>#NAME?</v>
      </c>
      <c r="K88" s="95" t="e">
        <f t="shared" ref="K88:K149" ca="1" si="23">H88/5280</f>
        <v>#NAME?</v>
      </c>
    </row>
    <row r="89" spans="4:11" ht="10.5" x14ac:dyDescent="0.15">
      <c r="D89" s="92" t="e">
        <f t="shared" ca="1" si="16"/>
        <v>#NAME?</v>
      </c>
      <c r="E89" s="97" t="e">
        <f t="shared" ca="1" si="17"/>
        <v>#NAME?</v>
      </c>
      <c r="F89" s="97" t="e">
        <f t="shared" ca="1" si="18"/>
        <v>#NAME?</v>
      </c>
      <c r="G89" s="92" t="e">
        <f t="shared" ca="1" si="19"/>
        <v>#NAME?</v>
      </c>
      <c r="H89" s="96" t="e">
        <f t="shared" ca="1" si="20"/>
        <v>#NAME?</v>
      </c>
      <c r="I89" s="95" t="e">
        <f t="shared" ca="1" si="21"/>
        <v>#NAME?</v>
      </c>
      <c r="J89" s="96" t="e">
        <f t="shared" ca="1" si="22"/>
        <v>#NAME?</v>
      </c>
      <c r="K89" s="95" t="e">
        <f t="shared" ca="1" si="23"/>
        <v>#NAME?</v>
      </c>
    </row>
    <row r="90" spans="4:11" ht="10.5" x14ac:dyDescent="0.15">
      <c r="D90" s="92" t="e">
        <f t="shared" ca="1" si="16"/>
        <v>#NAME?</v>
      </c>
      <c r="E90" s="97" t="e">
        <f t="shared" ca="1" si="17"/>
        <v>#NAME?</v>
      </c>
      <c r="F90" s="97" t="e">
        <f t="shared" ca="1" si="18"/>
        <v>#NAME?</v>
      </c>
      <c r="G90" s="92" t="e">
        <f t="shared" ca="1" si="19"/>
        <v>#NAME?</v>
      </c>
      <c r="H90" s="96" t="e">
        <f t="shared" ca="1" si="20"/>
        <v>#NAME?</v>
      </c>
      <c r="I90" s="95" t="e">
        <f t="shared" ca="1" si="21"/>
        <v>#NAME?</v>
      </c>
      <c r="J90" s="96" t="e">
        <f t="shared" ca="1" si="22"/>
        <v>#NAME?</v>
      </c>
      <c r="K90" s="95" t="e">
        <f t="shared" ca="1" si="23"/>
        <v>#NAME?</v>
      </c>
    </row>
    <row r="91" spans="4:11" ht="10.5" x14ac:dyDescent="0.15">
      <c r="D91" s="92" t="e">
        <f t="shared" ca="1" si="16"/>
        <v>#NAME?</v>
      </c>
      <c r="E91" s="97" t="e">
        <f t="shared" ca="1" si="17"/>
        <v>#NAME?</v>
      </c>
      <c r="F91" s="97" t="e">
        <f t="shared" ca="1" si="18"/>
        <v>#NAME?</v>
      </c>
      <c r="G91" s="92" t="e">
        <f t="shared" ca="1" si="19"/>
        <v>#NAME?</v>
      </c>
      <c r="H91" s="96" t="e">
        <f t="shared" ca="1" si="20"/>
        <v>#NAME?</v>
      </c>
      <c r="I91" s="95" t="e">
        <f t="shared" ca="1" si="21"/>
        <v>#NAME?</v>
      </c>
      <c r="J91" s="96" t="e">
        <f t="shared" ca="1" si="22"/>
        <v>#NAME?</v>
      </c>
      <c r="K91" s="95" t="e">
        <f t="shared" ca="1" si="23"/>
        <v>#NAME?</v>
      </c>
    </row>
    <row r="92" spans="4:11" ht="10.5" x14ac:dyDescent="0.15">
      <c r="D92" s="92" t="e">
        <f t="shared" ca="1" si="16"/>
        <v>#NAME?</v>
      </c>
      <c r="E92" s="97" t="e">
        <f t="shared" ca="1" si="17"/>
        <v>#NAME?</v>
      </c>
      <c r="F92" s="97" t="e">
        <f t="shared" ca="1" si="18"/>
        <v>#NAME?</v>
      </c>
      <c r="G92" s="92" t="e">
        <f t="shared" ca="1" si="19"/>
        <v>#NAME?</v>
      </c>
      <c r="H92" s="96" t="e">
        <f t="shared" ca="1" si="20"/>
        <v>#NAME?</v>
      </c>
      <c r="I92" s="95" t="e">
        <f t="shared" ca="1" si="21"/>
        <v>#NAME?</v>
      </c>
      <c r="J92" s="96" t="e">
        <f t="shared" ca="1" si="22"/>
        <v>#NAME?</v>
      </c>
      <c r="K92" s="95" t="e">
        <f t="shared" ca="1" si="23"/>
        <v>#NAME?</v>
      </c>
    </row>
    <row r="93" spans="4:11" ht="10.5" x14ac:dyDescent="0.15">
      <c r="D93" s="92" t="e">
        <f t="shared" ca="1" si="16"/>
        <v>#NAME?</v>
      </c>
      <c r="E93" s="97" t="e">
        <f t="shared" ca="1" si="17"/>
        <v>#NAME?</v>
      </c>
      <c r="F93" s="97" t="e">
        <f t="shared" ca="1" si="18"/>
        <v>#NAME?</v>
      </c>
      <c r="G93" s="92" t="e">
        <f t="shared" ca="1" si="19"/>
        <v>#NAME?</v>
      </c>
      <c r="H93" s="96" t="e">
        <f t="shared" ca="1" si="20"/>
        <v>#NAME?</v>
      </c>
      <c r="I93" s="95" t="e">
        <f t="shared" ca="1" si="21"/>
        <v>#NAME?</v>
      </c>
      <c r="J93" s="96" t="e">
        <f t="shared" ca="1" si="22"/>
        <v>#NAME?</v>
      </c>
      <c r="K93" s="95" t="e">
        <f t="shared" ca="1" si="23"/>
        <v>#NAME?</v>
      </c>
    </row>
    <row r="94" spans="4:11" ht="10.5" x14ac:dyDescent="0.15">
      <c r="D94" s="92" t="e">
        <f t="shared" ca="1" si="16"/>
        <v>#NAME?</v>
      </c>
      <c r="E94" s="97" t="e">
        <f t="shared" ca="1" si="17"/>
        <v>#NAME?</v>
      </c>
      <c r="F94" s="97" t="e">
        <f t="shared" ca="1" si="18"/>
        <v>#NAME?</v>
      </c>
      <c r="G94" s="92" t="e">
        <f t="shared" ca="1" si="19"/>
        <v>#NAME?</v>
      </c>
      <c r="H94" s="96" t="e">
        <f t="shared" ca="1" si="20"/>
        <v>#NAME?</v>
      </c>
      <c r="I94" s="95" t="e">
        <f t="shared" ca="1" si="21"/>
        <v>#NAME?</v>
      </c>
      <c r="J94" s="96" t="e">
        <f t="shared" ca="1" si="22"/>
        <v>#NAME?</v>
      </c>
      <c r="K94" s="95" t="e">
        <f t="shared" ca="1" si="23"/>
        <v>#NAME?</v>
      </c>
    </row>
    <row r="95" spans="4:11" ht="10.5" x14ac:dyDescent="0.15">
      <c r="D95" s="92" t="e">
        <f t="shared" ca="1" si="16"/>
        <v>#NAME?</v>
      </c>
      <c r="E95" s="97" t="e">
        <f t="shared" ca="1" si="17"/>
        <v>#NAME?</v>
      </c>
      <c r="F95" s="97" t="e">
        <f t="shared" ca="1" si="18"/>
        <v>#NAME?</v>
      </c>
      <c r="G95" s="92" t="e">
        <f t="shared" ca="1" si="19"/>
        <v>#NAME?</v>
      </c>
      <c r="H95" s="96" t="e">
        <f t="shared" ca="1" si="20"/>
        <v>#NAME?</v>
      </c>
      <c r="I95" s="95" t="e">
        <f t="shared" ca="1" si="21"/>
        <v>#NAME?</v>
      </c>
      <c r="J95" s="96" t="e">
        <f t="shared" ca="1" si="22"/>
        <v>#NAME?</v>
      </c>
      <c r="K95" s="95" t="e">
        <f t="shared" ca="1" si="23"/>
        <v>#NAME?</v>
      </c>
    </row>
    <row r="96" spans="4:11" ht="10.5" x14ac:dyDescent="0.15">
      <c r="D96" s="92" t="e">
        <f t="shared" ca="1" si="16"/>
        <v>#NAME?</v>
      </c>
      <c r="E96" s="97" t="e">
        <f t="shared" ca="1" si="17"/>
        <v>#NAME?</v>
      </c>
      <c r="F96" s="97" t="e">
        <f t="shared" ca="1" si="18"/>
        <v>#NAME?</v>
      </c>
      <c r="G96" s="92" t="e">
        <f t="shared" ca="1" si="19"/>
        <v>#NAME?</v>
      </c>
      <c r="H96" s="96" t="e">
        <f t="shared" ca="1" si="20"/>
        <v>#NAME?</v>
      </c>
      <c r="I96" s="95" t="e">
        <f t="shared" ca="1" si="21"/>
        <v>#NAME?</v>
      </c>
      <c r="J96" s="96" t="e">
        <f t="shared" ca="1" si="22"/>
        <v>#NAME?</v>
      </c>
      <c r="K96" s="95" t="e">
        <f t="shared" ca="1" si="23"/>
        <v>#NAME?</v>
      </c>
    </row>
    <row r="97" spans="4:11" ht="10.5" x14ac:dyDescent="0.15">
      <c r="D97" s="92" t="e">
        <f t="shared" ca="1" si="16"/>
        <v>#NAME?</v>
      </c>
      <c r="E97" s="97" t="e">
        <f t="shared" ca="1" si="17"/>
        <v>#NAME?</v>
      </c>
      <c r="F97" s="97" t="e">
        <f t="shared" ca="1" si="18"/>
        <v>#NAME?</v>
      </c>
      <c r="G97" s="92" t="e">
        <f t="shared" ca="1" si="19"/>
        <v>#NAME?</v>
      </c>
      <c r="H97" s="96" t="e">
        <f t="shared" ca="1" si="20"/>
        <v>#NAME?</v>
      </c>
      <c r="I97" s="95" t="e">
        <f t="shared" ca="1" si="21"/>
        <v>#NAME?</v>
      </c>
      <c r="J97" s="96" t="e">
        <f t="shared" ca="1" si="22"/>
        <v>#NAME?</v>
      </c>
      <c r="K97" s="95" t="e">
        <f t="shared" ca="1" si="23"/>
        <v>#NAME?</v>
      </c>
    </row>
    <row r="98" spans="4:11" ht="10.5" x14ac:dyDescent="0.15">
      <c r="D98" s="92" t="e">
        <f t="shared" ca="1" si="16"/>
        <v>#NAME?</v>
      </c>
      <c r="E98" s="97" t="e">
        <f t="shared" ca="1" si="17"/>
        <v>#NAME?</v>
      </c>
      <c r="F98" s="97" t="e">
        <f t="shared" ca="1" si="18"/>
        <v>#NAME?</v>
      </c>
      <c r="G98" s="92" t="e">
        <f t="shared" ca="1" si="19"/>
        <v>#NAME?</v>
      </c>
      <c r="H98" s="96" t="e">
        <f t="shared" ca="1" si="20"/>
        <v>#NAME?</v>
      </c>
      <c r="I98" s="95" t="e">
        <f t="shared" ca="1" si="21"/>
        <v>#NAME?</v>
      </c>
      <c r="J98" s="96" t="e">
        <f t="shared" ca="1" si="22"/>
        <v>#NAME?</v>
      </c>
      <c r="K98" s="95" t="e">
        <f t="shared" ca="1" si="23"/>
        <v>#NAME?</v>
      </c>
    </row>
    <row r="99" spans="4:11" ht="10.5" x14ac:dyDescent="0.15">
      <c r="D99" s="92" t="e">
        <f t="shared" ca="1" si="16"/>
        <v>#NAME?</v>
      </c>
      <c r="E99" s="97" t="e">
        <f t="shared" ca="1" si="17"/>
        <v>#NAME?</v>
      </c>
      <c r="F99" s="97" t="e">
        <f t="shared" ca="1" si="18"/>
        <v>#NAME?</v>
      </c>
      <c r="G99" s="92" t="e">
        <f t="shared" ca="1" si="19"/>
        <v>#NAME?</v>
      </c>
      <c r="H99" s="96" t="e">
        <f t="shared" ca="1" si="20"/>
        <v>#NAME?</v>
      </c>
      <c r="I99" s="95" t="e">
        <f t="shared" ca="1" si="21"/>
        <v>#NAME?</v>
      </c>
      <c r="J99" s="96" t="e">
        <f t="shared" ca="1" si="22"/>
        <v>#NAME?</v>
      </c>
      <c r="K99" s="95" t="e">
        <f t="shared" ca="1" si="23"/>
        <v>#NAME?</v>
      </c>
    </row>
    <row r="100" spans="4:11" ht="10.5" x14ac:dyDescent="0.15">
      <c r="D100" s="92" t="e">
        <f t="shared" ca="1" si="16"/>
        <v>#NAME?</v>
      </c>
      <c r="E100" s="97" t="e">
        <f t="shared" ca="1" si="17"/>
        <v>#NAME?</v>
      </c>
      <c r="F100" s="97" t="e">
        <f t="shared" ca="1" si="18"/>
        <v>#NAME?</v>
      </c>
      <c r="G100" s="92" t="e">
        <f t="shared" ca="1" si="19"/>
        <v>#NAME?</v>
      </c>
      <c r="H100" s="96" t="e">
        <f t="shared" ca="1" si="20"/>
        <v>#NAME?</v>
      </c>
      <c r="I100" s="95" t="e">
        <f t="shared" ca="1" si="21"/>
        <v>#NAME?</v>
      </c>
      <c r="J100" s="96" t="e">
        <f t="shared" ca="1" si="22"/>
        <v>#NAME?</v>
      </c>
      <c r="K100" s="95" t="e">
        <f t="shared" ca="1" si="23"/>
        <v>#NAME?</v>
      </c>
    </row>
    <row r="101" spans="4:11" ht="10.5" x14ac:dyDescent="0.15">
      <c r="D101" s="92" t="e">
        <f t="shared" ca="1" si="16"/>
        <v>#NAME?</v>
      </c>
      <c r="E101" s="97" t="e">
        <f t="shared" ca="1" si="17"/>
        <v>#NAME?</v>
      </c>
      <c r="F101" s="97" t="e">
        <f t="shared" ca="1" si="18"/>
        <v>#NAME?</v>
      </c>
      <c r="G101" s="92" t="e">
        <f t="shared" ca="1" si="19"/>
        <v>#NAME?</v>
      </c>
      <c r="H101" s="96" t="e">
        <f t="shared" ca="1" si="20"/>
        <v>#NAME?</v>
      </c>
      <c r="I101" s="95" t="e">
        <f t="shared" ca="1" si="21"/>
        <v>#NAME?</v>
      </c>
      <c r="J101" s="96" t="e">
        <f t="shared" ca="1" si="22"/>
        <v>#NAME?</v>
      </c>
      <c r="K101" s="95" t="e">
        <f t="shared" ca="1" si="23"/>
        <v>#NAME?</v>
      </c>
    </row>
    <row r="102" spans="4:11" ht="10.5" x14ac:dyDescent="0.15">
      <c r="D102" s="92" t="e">
        <f t="shared" ca="1" si="16"/>
        <v>#NAME?</v>
      </c>
      <c r="E102" s="97" t="e">
        <f t="shared" ca="1" si="17"/>
        <v>#NAME?</v>
      </c>
      <c r="F102" s="97" t="e">
        <f t="shared" ca="1" si="18"/>
        <v>#NAME?</v>
      </c>
      <c r="G102" s="92" t="e">
        <f t="shared" ca="1" si="19"/>
        <v>#NAME?</v>
      </c>
      <c r="H102" s="96" t="e">
        <f t="shared" ca="1" si="20"/>
        <v>#NAME?</v>
      </c>
      <c r="I102" s="95" t="e">
        <f t="shared" ca="1" si="21"/>
        <v>#NAME?</v>
      </c>
      <c r="J102" s="96" t="e">
        <f t="shared" ca="1" si="22"/>
        <v>#NAME?</v>
      </c>
      <c r="K102" s="95" t="e">
        <f t="shared" ca="1" si="23"/>
        <v>#NAME?</v>
      </c>
    </row>
    <row r="103" spans="4:11" ht="10.5" x14ac:dyDescent="0.15">
      <c r="D103" s="92" t="e">
        <f t="shared" ca="1" si="16"/>
        <v>#NAME?</v>
      </c>
      <c r="E103" s="97" t="e">
        <f t="shared" ca="1" si="17"/>
        <v>#NAME?</v>
      </c>
      <c r="F103" s="97" t="e">
        <f t="shared" ca="1" si="18"/>
        <v>#NAME?</v>
      </c>
      <c r="G103" s="92" t="e">
        <f t="shared" ca="1" si="19"/>
        <v>#NAME?</v>
      </c>
      <c r="H103" s="96" t="e">
        <f t="shared" ca="1" si="20"/>
        <v>#NAME?</v>
      </c>
      <c r="I103" s="95" t="e">
        <f t="shared" ca="1" si="21"/>
        <v>#NAME?</v>
      </c>
      <c r="J103" s="96" t="e">
        <f t="shared" ca="1" si="22"/>
        <v>#NAME?</v>
      </c>
      <c r="K103" s="95" t="e">
        <f t="shared" ca="1" si="23"/>
        <v>#NAME?</v>
      </c>
    </row>
    <row r="104" spans="4:11" ht="10.5" x14ac:dyDescent="0.15">
      <c r="D104" s="92" t="e">
        <f t="shared" ca="1" si="16"/>
        <v>#NAME?</v>
      </c>
      <c r="E104" s="97" t="e">
        <f t="shared" ca="1" si="17"/>
        <v>#NAME?</v>
      </c>
      <c r="F104" s="97" t="e">
        <f t="shared" ca="1" si="18"/>
        <v>#NAME?</v>
      </c>
      <c r="G104" s="92" t="e">
        <f t="shared" ca="1" si="19"/>
        <v>#NAME?</v>
      </c>
      <c r="H104" s="96" t="e">
        <f t="shared" ca="1" si="20"/>
        <v>#NAME?</v>
      </c>
      <c r="I104" s="95" t="e">
        <f t="shared" ca="1" si="21"/>
        <v>#NAME?</v>
      </c>
      <c r="J104" s="96" t="e">
        <f t="shared" ca="1" si="22"/>
        <v>#NAME?</v>
      </c>
      <c r="K104" s="95" t="e">
        <f t="shared" ca="1" si="23"/>
        <v>#NAME?</v>
      </c>
    </row>
    <row r="105" spans="4:11" ht="10.5" x14ac:dyDescent="0.15">
      <c r="D105" s="92" t="e">
        <f t="shared" ca="1" si="16"/>
        <v>#NAME?</v>
      </c>
      <c r="E105" s="97" t="e">
        <f t="shared" ca="1" si="17"/>
        <v>#NAME?</v>
      </c>
      <c r="F105" s="97" t="e">
        <f t="shared" ca="1" si="18"/>
        <v>#NAME?</v>
      </c>
      <c r="G105" s="92" t="e">
        <f t="shared" ca="1" si="19"/>
        <v>#NAME?</v>
      </c>
      <c r="H105" s="96" t="e">
        <f t="shared" ca="1" si="20"/>
        <v>#NAME?</v>
      </c>
      <c r="I105" s="95" t="e">
        <f t="shared" ca="1" si="21"/>
        <v>#NAME?</v>
      </c>
      <c r="J105" s="96" t="e">
        <f t="shared" ca="1" si="22"/>
        <v>#NAME?</v>
      </c>
      <c r="K105" s="95" t="e">
        <f t="shared" ca="1" si="23"/>
        <v>#NAME?</v>
      </c>
    </row>
    <row r="106" spans="4:11" ht="10.5" x14ac:dyDescent="0.15">
      <c r="D106" s="92" t="e">
        <f t="shared" ca="1" si="16"/>
        <v>#NAME?</v>
      </c>
      <c r="E106" s="97" t="e">
        <f t="shared" ca="1" si="17"/>
        <v>#NAME?</v>
      </c>
      <c r="F106" s="97" t="e">
        <f t="shared" ca="1" si="18"/>
        <v>#NAME?</v>
      </c>
      <c r="G106" s="92" t="e">
        <f t="shared" ca="1" si="19"/>
        <v>#NAME?</v>
      </c>
      <c r="H106" s="96" t="e">
        <f t="shared" ca="1" si="20"/>
        <v>#NAME?</v>
      </c>
      <c r="I106" s="95" t="e">
        <f t="shared" ca="1" si="21"/>
        <v>#NAME?</v>
      </c>
      <c r="J106" s="96" t="e">
        <f t="shared" ca="1" si="22"/>
        <v>#NAME?</v>
      </c>
      <c r="K106" s="95" t="e">
        <f t="shared" ca="1" si="23"/>
        <v>#NAME?</v>
      </c>
    </row>
    <row r="107" spans="4:11" ht="10.5" x14ac:dyDescent="0.15">
      <c r="D107" s="92" t="e">
        <f t="shared" ca="1" si="16"/>
        <v>#NAME?</v>
      </c>
      <c r="E107" s="97" t="e">
        <f t="shared" ca="1" si="17"/>
        <v>#NAME?</v>
      </c>
      <c r="F107" s="97" t="e">
        <f t="shared" ca="1" si="18"/>
        <v>#NAME?</v>
      </c>
      <c r="G107" s="92" t="e">
        <f t="shared" ca="1" si="19"/>
        <v>#NAME?</v>
      </c>
      <c r="H107" s="96" t="e">
        <f t="shared" ca="1" si="20"/>
        <v>#NAME?</v>
      </c>
      <c r="I107" s="95" t="e">
        <f t="shared" ca="1" si="21"/>
        <v>#NAME?</v>
      </c>
      <c r="J107" s="96" t="e">
        <f t="shared" ca="1" si="22"/>
        <v>#NAME?</v>
      </c>
      <c r="K107" s="95" t="e">
        <f t="shared" ca="1" si="23"/>
        <v>#NAME?</v>
      </c>
    </row>
    <row r="108" spans="4:11" ht="10.5" x14ac:dyDescent="0.15">
      <c r="D108" s="92" t="e">
        <f t="shared" ca="1" si="16"/>
        <v>#NAME?</v>
      </c>
      <c r="E108" s="97" t="e">
        <f t="shared" ca="1" si="17"/>
        <v>#NAME?</v>
      </c>
      <c r="F108" s="97" t="e">
        <f t="shared" ca="1" si="18"/>
        <v>#NAME?</v>
      </c>
      <c r="G108" s="92" t="e">
        <f t="shared" ca="1" si="19"/>
        <v>#NAME?</v>
      </c>
      <c r="H108" s="96" t="e">
        <f t="shared" ca="1" si="20"/>
        <v>#NAME?</v>
      </c>
      <c r="I108" s="95" t="e">
        <f t="shared" ca="1" si="21"/>
        <v>#NAME?</v>
      </c>
      <c r="J108" s="96" t="e">
        <f t="shared" ca="1" si="22"/>
        <v>#NAME?</v>
      </c>
      <c r="K108" s="95" t="e">
        <f t="shared" ca="1" si="23"/>
        <v>#NAME?</v>
      </c>
    </row>
    <row r="109" spans="4:11" ht="10.5" x14ac:dyDescent="0.15">
      <c r="D109" s="92" t="e">
        <f t="shared" ca="1" si="16"/>
        <v>#NAME?</v>
      </c>
      <c r="E109" s="97" t="e">
        <f t="shared" ca="1" si="17"/>
        <v>#NAME?</v>
      </c>
      <c r="F109" s="97" t="e">
        <f t="shared" ca="1" si="18"/>
        <v>#NAME?</v>
      </c>
      <c r="G109" s="92" t="e">
        <f t="shared" ca="1" si="19"/>
        <v>#NAME?</v>
      </c>
      <c r="H109" s="96" t="e">
        <f t="shared" ca="1" si="20"/>
        <v>#NAME?</v>
      </c>
      <c r="I109" s="95" t="e">
        <f t="shared" ca="1" si="21"/>
        <v>#NAME?</v>
      </c>
      <c r="J109" s="96" t="e">
        <f t="shared" ca="1" si="22"/>
        <v>#NAME?</v>
      </c>
      <c r="K109" s="95" t="e">
        <f t="shared" ca="1" si="23"/>
        <v>#NAME?</v>
      </c>
    </row>
    <row r="110" spans="4:11" ht="10.5" x14ac:dyDescent="0.15">
      <c r="D110" s="92" t="e">
        <f t="shared" ca="1" si="16"/>
        <v>#NAME?</v>
      </c>
      <c r="E110" s="97" t="e">
        <f t="shared" ca="1" si="17"/>
        <v>#NAME?</v>
      </c>
      <c r="F110" s="97" t="e">
        <f t="shared" ca="1" si="18"/>
        <v>#NAME?</v>
      </c>
      <c r="G110" s="92" t="e">
        <f t="shared" ca="1" si="19"/>
        <v>#NAME?</v>
      </c>
      <c r="H110" s="96" t="e">
        <f t="shared" ca="1" si="20"/>
        <v>#NAME?</v>
      </c>
      <c r="I110" s="95" t="e">
        <f t="shared" ca="1" si="21"/>
        <v>#NAME?</v>
      </c>
      <c r="J110" s="96" t="e">
        <f t="shared" ca="1" si="22"/>
        <v>#NAME?</v>
      </c>
      <c r="K110" s="95" t="e">
        <f t="shared" ca="1" si="23"/>
        <v>#NAME?</v>
      </c>
    </row>
    <row r="111" spans="4:11" ht="10.5" x14ac:dyDescent="0.15">
      <c r="D111" s="92" t="e">
        <f t="shared" ca="1" si="16"/>
        <v>#NAME?</v>
      </c>
      <c r="E111" s="97" t="e">
        <f t="shared" ca="1" si="17"/>
        <v>#NAME?</v>
      </c>
      <c r="F111" s="97" t="e">
        <f t="shared" ca="1" si="18"/>
        <v>#NAME?</v>
      </c>
      <c r="G111" s="92" t="e">
        <f t="shared" ca="1" si="19"/>
        <v>#NAME?</v>
      </c>
      <c r="H111" s="96" t="e">
        <f t="shared" ca="1" si="20"/>
        <v>#NAME?</v>
      </c>
      <c r="I111" s="95" t="e">
        <f t="shared" ca="1" si="21"/>
        <v>#NAME?</v>
      </c>
      <c r="J111" s="96" t="e">
        <f t="shared" ca="1" si="22"/>
        <v>#NAME?</v>
      </c>
      <c r="K111" s="95" t="e">
        <f t="shared" ca="1" si="23"/>
        <v>#NAME?</v>
      </c>
    </row>
    <row r="112" spans="4:11" ht="10.5" x14ac:dyDescent="0.15">
      <c r="D112" s="92" t="e">
        <f t="shared" ca="1" si="16"/>
        <v>#NAME?</v>
      </c>
      <c r="E112" s="97" t="e">
        <f t="shared" ca="1" si="17"/>
        <v>#NAME?</v>
      </c>
      <c r="F112" s="97" t="e">
        <f t="shared" ca="1" si="18"/>
        <v>#NAME?</v>
      </c>
      <c r="G112" s="92" t="e">
        <f t="shared" ca="1" si="19"/>
        <v>#NAME?</v>
      </c>
      <c r="H112" s="96" t="e">
        <f t="shared" ca="1" si="20"/>
        <v>#NAME?</v>
      </c>
      <c r="I112" s="95" t="e">
        <f t="shared" ca="1" si="21"/>
        <v>#NAME?</v>
      </c>
      <c r="J112" s="96" t="e">
        <f t="shared" ca="1" si="22"/>
        <v>#NAME?</v>
      </c>
      <c r="K112" s="95" t="e">
        <f t="shared" ca="1" si="23"/>
        <v>#NAME?</v>
      </c>
    </row>
    <row r="113" spans="4:11" ht="10.5" x14ac:dyDescent="0.15">
      <c r="D113" s="92" t="e">
        <f t="shared" ca="1" si="16"/>
        <v>#NAME?</v>
      </c>
      <c r="E113" s="97" t="e">
        <f t="shared" ca="1" si="17"/>
        <v>#NAME?</v>
      </c>
      <c r="F113" s="97" t="e">
        <f t="shared" ca="1" si="18"/>
        <v>#NAME?</v>
      </c>
      <c r="G113" s="92" t="e">
        <f t="shared" ca="1" si="19"/>
        <v>#NAME?</v>
      </c>
      <c r="H113" s="96" t="e">
        <f t="shared" ca="1" si="20"/>
        <v>#NAME?</v>
      </c>
      <c r="I113" s="95" t="e">
        <f t="shared" ca="1" si="21"/>
        <v>#NAME?</v>
      </c>
      <c r="J113" s="96" t="e">
        <f t="shared" ca="1" si="22"/>
        <v>#NAME?</v>
      </c>
      <c r="K113" s="95" t="e">
        <f t="shared" ca="1" si="23"/>
        <v>#NAME?</v>
      </c>
    </row>
    <row r="114" spans="4:11" ht="10.5" x14ac:dyDescent="0.15">
      <c r="D114" s="92" t="e">
        <f t="shared" ca="1" si="16"/>
        <v>#NAME?</v>
      </c>
      <c r="E114" s="97" t="e">
        <f t="shared" ca="1" si="17"/>
        <v>#NAME?</v>
      </c>
      <c r="F114" s="97" t="e">
        <f t="shared" ca="1" si="18"/>
        <v>#NAME?</v>
      </c>
      <c r="G114" s="92" t="e">
        <f t="shared" ca="1" si="19"/>
        <v>#NAME?</v>
      </c>
      <c r="H114" s="96" t="e">
        <f t="shared" ca="1" si="20"/>
        <v>#NAME?</v>
      </c>
      <c r="I114" s="95" t="e">
        <f t="shared" ca="1" si="21"/>
        <v>#NAME?</v>
      </c>
      <c r="J114" s="96" t="e">
        <f t="shared" ca="1" si="22"/>
        <v>#NAME?</v>
      </c>
      <c r="K114" s="95" t="e">
        <f t="shared" ca="1" si="23"/>
        <v>#NAME?</v>
      </c>
    </row>
    <row r="115" spans="4:11" ht="10.5" x14ac:dyDescent="0.15">
      <c r="D115" s="92" t="e">
        <f t="shared" ca="1" si="16"/>
        <v>#NAME?</v>
      </c>
      <c r="E115" s="97" t="e">
        <f t="shared" ca="1" si="17"/>
        <v>#NAME?</v>
      </c>
      <c r="F115" s="97" t="e">
        <f t="shared" ca="1" si="18"/>
        <v>#NAME?</v>
      </c>
      <c r="G115" s="92" t="e">
        <f t="shared" ca="1" si="19"/>
        <v>#NAME?</v>
      </c>
      <c r="H115" s="96" t="e">
        <f t="shared" ca="1" si="20"/>
        <v>#NAME?</v>
      </c>
      <c r="I115" s="95" t="e">
        <f t="shared" ca="1" si="21"/>
        <v>#NAME?</v>
      </c>
      <c r="J115" s="96" t="e">
        <f t="shared" ca="1" si="22"/>
        <v>#NAME?</v>
      </c>
      <c r="K115" s="95" t="e">
        <f t="shared" ca="1" si="23"/>
        <v>#NAME?</v>
      </c>
    </row>
    <row r="116" spans="4:11" ht="10.5" x14ac:dyDescent="0.15">
      <c r="D116" s="92" t="e">
        <f t="shared" ca="1" si="16"/>
        <v>#NAME?</v>
      </c>
      <c r="E116" s="97" t="e">
        <f t="shared" ca="1" si="17"/>
        <v>#NAME?</v>
      </c>
      <c r="F116" s="97" t="e">
        <f t="shared" ca="1" si="18"/>
        <v>#NAME?</v>
      </c>
      <c r="G116" s="92" t="e">
        <f t="shared" ca="1" si="19"/>
        <v>#NAME?</v>
      </c>
      <c r="H116" s="96" t="e">
        <f t="shared" ca="1" si="20"/>
        <v>#NAME?</v>
      </c>
      <c r="I116" s="95" t="e">
        <f t="shared" ca="1" si="21"/>
        <v>#NAME?</v>
      </c>
      <c r="J116" s="96" t="e">
        <f t="shared" ca="1" si="22"/>
        <v>#NAME?</v>
      </c>
      <c r="K116" s="95" t="e">
        <f t="shared" ca="1" si="23"/>
        <v>#NAME?</v>
      </c>
    </row>
    <row r="117" spans="4:11" ht="10.5" x14ac:dyDescent="0.15">
      <c r="D117" s="92" t="e">
        <f t="shared" ca="1" si="16"/>
        <v>#NAME?</v>
      </c>
      <c r="E117" s="97" t="e">
        <f t="shared" ca="1" si="17"/>
        <v>#NAME?</v>
      </c>
      <c r="F117" s="97" t="e">
        <f t="shared" ca="1" si="18"/>
        <v>#NAME?</v>
      </c>
      <c r="G117" s="92" t="e">
        <f t="shared" ca="1" si="19"/>
        <v>#NAME?</v>
      </c>
      <c r="H117" s="96" t="e">
        <f t="shared" ca="1" si="20"/>
        <v>#NAME?</v>
      </c>
      <c r="I117" s="95" t="e">
        <f t="shared" ca="1" si="21"/>
        <v>#NAME?</v>
      </c>
      <c r="J117" s="96" t="e">
        <f t="shared" ca="1" si="22"/>
        <v>#NAME?</v>
      </c>
      <c r="K117" s="95" t="e">
        <f t="shared" ca="1" si="23"/>
        <v>#NAME?</v>
      </c>
    </row>
    <row r="118" spans="4:11" ht="10.5" x14ac:dyDescent="0.15">
      <c r="D118" s="92" t="e">
        <f t="shared" ca="1" si="16"/>
        <v>#NAME?</v>
      </c>
      <c r="E118" s="97" t="e">
        <f t="shared" ca="1" si="17"/>
        <v>#NAME?</v>
      </c>
      <c r="F118" s="97" t="e">
        <f t="shared" ca="1" si="18"/>
        <v>#NAME?</v>
      </c>
      <c r="G118" s="92" t="e">
        <f t="shared" ca="1" si="19"/>
        <v>#NAME?</v>
      </c>
      <c r="H118" s="96" t="e">
        <f t="shared" ca="1" si="20"/>
        <v>#NAME?</v>
      </c>
      <c r="I118" s="95" t="e">
        <f t="shared" ca="1" si="21"/>
        <v>#NAME?</v>
      </c>
      <c r="J118" s="96" t="e">
        <f t="shared" ca="1" si="22"/>
        <v>#NAME?</v>
      </c>
      <c r="K118" s="95" t="e">
        <f t="shared" ca="1" si="23"/>
        <v>#NAME?</v>
      </c>
    </row>
    <row r="119" spans="4:11" ht="10.5" x14ac:dyDescent="0.15">
      <c r="D119" s="92" t="e">
        <f t="shared" ca="1" si="16"/>
        <v>#NAME?</v>
      </c>
      <c r="E119" s="97" t="e">
        <f t="shared" ca="1" si="17"/>
        <v>#NAME?</v>
      </c>
      <c r="F119" s="97" t="e">
        <f t="shared" ca="1" si="18"/>
        <v>#NAME?</v>
      </c>
      <c r="G119" s="92" t="e">
        <f t="shared" ca="1" si="19"/>
        <v>#NAME?</v>
      </c>
      <c r="H119" s="96" t="e">
        <f t="shared" ca="1" si="20"/>
        <v>#NAME?</v>
      </c>
      <c r="I119" s="95" t="e">
        <f t="shared" ca="1" si="21"/>
        <v>#NAME?</v>
      </c>
      <c r="J119" s="96" t="e">
        <f t="shared" ca="1" si="22"/>
        <v>#NAME?</v>
      </c>
      <c r="K119" s="95" t="e">
        <f t="shared" ca="1" si="23"/>
        <v>#NAME?</v>
      </c>
    </row>
    <row r="120" spans="4:11" ht="10.5" x14ac:dyDescent="0.15">
      <c r="D120" s="92" t="e">
        <f t="shared" ca="1" si="16"/>
        <v>#NAME?</v>
      </c>
      <c r="E120" s="97" t="e">
        <f t="shared" ca="1" si="17"/>
        <v>#NAME?</v>
      </c>
      <c r="F120" s="97" t="e">
        <f t="shared" ca="1" si="18"/>
        <v>#NAME?</v>
      </c>
      <c r="G120" s="92" t="e">
        <f t="shared" ca="1" si="19"/>
        <v>#NAME?</v>
      </c>
      <c r="H120" s="96" t="e">
        <f t="shared" ca="1" si="20"/>
        <v>#NAME?</v>
      </c>
      <c r="I120" s="95" t="e">
        <f t="shared" ca="1" si="21"/>
        <v>#NAME?</v>
      </c>
      <c r="J120" s="96" t="e">
        <f t="shared" ca="1" si="22"/>
        <v>#NAME?</v>
      </c>
      <c r="K120" s="95" t="e">
        <f t="shared" ca="1" si="23"/>
        <v>#NAME?</v>
      </c>
    </row>
    <row r="121" spans="4:11" ht="10.5" x14ac:dyDescent="0.15">
      <c r="D121" s="92" t="e">
        <f t="shared" ca="1" si="16"/>
        <v>#NAME?</v>
      </c>
      <c r="E121" s="97" t="e">
        <f t="shared" ca="1" si="17"/>
        <v>#NAME?</v>
      </c>
      <c r="F121" s="97" t="e">
        <f t="shared" ca="1" si="18"/>
        <v>#NAME?</v>
      </c>
      <c r="G121" s="92" t="e">
        <f t="shared" ca="1" si="19"/>
        <v>#NAME?</v>
      </c>
      <c r="H121" s="96" t="e">
        <f t="shared" ca="1" si="20"/>
        <v>#NAME?</v>
      </c>
      <c r="I121" s="95" t="e">
        <f t="shared" ca="1" si="21"/>
        <v>#NAME?</v>
      </c>
      <c r="J121" s="96" t="e">
        <f t="shared" ca="1" si="22"/>
        <v>#NAME?</v>
      </c>
      <c r="K121" s="95" t="e">
        <f t="shared" ca="1" si="23"/>
        <v>#NAME?</v>
      </c>
    </row>
    <row r="122" spans="4:11" ht="10.5" x14ac:dyDescent="0.15">
      <c r="D122" s="92" t="e">
        <f t="shared" ca="1" si="16"/>
        <v>#NAME?</v>
      </c>
      <c r="E122" s="97" t="e">
        <f t="shared" ca="1" si="17"/>
        <v>#NAME?</v>
      </c>
      <c r="F122" s="97" t="e">
        <f t="shared" ca="1" si="18"/>
        <v>#NAME?</v>
      </c>
      <c r="G122" s="92" t="e">
        <f t="shared" ca="1" si="19"/>
        <v>#NAME?</v>
      </c>
      <c r="H122" s="96" t="e">
        <f t="shared" ca="1" si="20"/>
        <v>#NAME?</v>
      </c>
      <c r="I122" s="95" t="e">
        <f t="shared" ca="1" si="21"/>
        <v>#NAME?</v>
      </c>
      <c r="J122" s="96" t="e">
        <f t="shared" ca="1" si="22"/>
        <v>#NAME?</v>
      </c>
      <c r="K122" s="95" t="e">
        <f t="shared" ca="1" si="23"/>
        <v>#NAME?</v>
      </c>
    </row>
    <row r="123" spans="4:11" ht="10.5" x14ac:dyDescent="0.15">
      <c r="D123" s="92" t="e">
        <f t="shared" ca="1" si="16"/>
        <v>#NAME?</v>
      </c>
      <c r="E123" s="97" t="e">
        <f t="shared" ca="1" si="17"/>
        <v>#NAME?</v>
      </c>
      <c r="F123" s="97" t="e">
        <f t="shared" ca="1" si="18"/>
        <v>#NAME?</v>
      </c>
      <c r="G123" s="92" t="e">
        <f t="shared" ca="1" si="19"/>
        <v>#NAME?</v>
      </c>
      <c r="H123" s="96" t="e">
        <f t="shared" ca="1" si="20"/>
        <v>#NAME?</v>
      </c>
      <c r="I123" s="95" t="e">
        <f t="shared" ca="1" si="21"/>
        <v>#NAME?</v>
      </c>
      <c r="J123" s="96" t="e">
        <f t="shared" ca="1" si="22"/>
        <v>#NAME?</v>
      </c>
      <c r="K123" s="95" t="e">
        <f t="shared" ca="1" si="23"/>
        <v>#NAME?</v>
      </c>
    </row>
    <row r="124" spans="4:11" ht="10.5" x14ac:dyDescent="0.15">
      <c r="D124" s="92" t="e">
        <f t="shared" ca="1" si="16"/>
        <v>#NAME?</v>
      </c>
      <c r="E124" s="97" t="e">
        <f t="shared" ca="1" si="17"/>
        <v>#NAME?</v>
      </c>
      <c r="F124" s="97" t="e">
        <f t="shared" ca="1" si="18"/>
        <v>#NAME?</v>
      </c>
      <c r="G124" s="92" t="e">
        <f t="shared" ca="1" si="19"/>
        <v>#NAME?</v>
      </c>
      <c r="H124" s="96" t="e">
        <f t="shared" ca="1" si="20"/>
        <v>#NAME?</v>
      </c>
      <c r="I124" s="95" t="e">
        <f t="shared" ca="1" si="21"/>
        <v>#NAME?</v>
      </c>
      <c r="J124" s="96" t="e">
        <f t="shared" ca="1" si="22"/>
        <v>#NAME?</v>
      </c>
      <c r="K124" s="95" t="e">
        <f t="shared" ca="1" si="23"/>
        <v>#NAME?</v>
      </c>
    </row>
    <row r="125" spans="4:11" ht="10.5" x14ac:dyDescent="0.15">
      <c r="D125" s="92" t="e">
        <f t="shared" ca="1" si="16"/>
        <v>#NAME?</v>
      </c>
      <c r="E125" s="97" t="e">
        <f t="shared" ca="1" si="17"/>
        <v>#NAME?</v>
      </c>
      <c r="F125" s="97" t="e">
        <f t="shared" ca="1" si="18"/>
        <v>#NAME?</v>
      </c>
      <c r="G125" s="92" t="e">
        <f t="shared" ca="1" si="19"/>
        <v>#NAME?</v>
      </c>
      <c r="H125" s="96" t="e">
        <f t="shared" ca="1" si="20"/>
        <v>#NAME?</v>
      </c>
      <c r="I125" s="95" t="e">
        <f t="shared" ca="1" si="21"/>
        <v>#NAME?</v>
      </c>
      <c r="J125" s="96" t="e">
        <f t="shared" ca="1" si="22"/>
        <v>#NAME?</v>
      </c>
      <c r="K125" s="95" t="e">
        <f t="shared" ca="1" si="23"/>
        <v>#NAME?</v>
      </c>
    </row>
    <row r="126" spans="4:11" ht="10.5" x14ac:dyDescent="0.15">
      <c r="D126" s="92" t="e">
        <f t="shared" ca="1" si="16"/>
        <v>#NAME?</v>
      </c>
      <c r="E126" s="97" t="e">
        <f t="shared" ca="1" si="17"/>
        <v>#NAME?</v>
      </c>
      <c r="F126" s="97" t="e">
        <f t="shared" ca="1" si="18"/>
        <v>#NAME?</v>
      </c>
      <c r="G126" s="92" t="e">
        <f t="shared" ca="1" si="19"/>
        <v>#NAME?</v>
      </c>
      <c r="H126" s="96" t="e">
        <f t="shared" ca="1" si="20"/>
        <v>#NAME?</v>
      </c>
      <c r="I126" s="95" t="e">
        <f t="shared" ca="1" si="21"/>
        <v>#NAME?</v>
      </c>
      <c r="J126" s="96" t="e">
        <f t="shared" ca="1" si="22"/>
        <v>#NAME?</v>
      </c>
      <c r="K126" s="95" t="e">
        <f t="shared" ca="1" si="23"/>
        <v>#NAME?</v>
      </c>
    </row>
    <row r="127" spans="4:11" ht="10.5" x14ac:dyDescent="0.15">
      <c r="D127" s="92" t="e">
        <f t="shared" ca="1" si="16"/>
        <v>#NAME?</v>
      </c>
      <c r="E127" s="97" t="e">
        <f t="shared" ca="1" si="17"/>
        <v>#NAME?</v>
      </c>
      <c r="F127" s="97" t="e">
        <f t="shared" ca="1" si="18"/>
        <v>#NAME?</v>
      </c>
      <c r="G127" s="92" t="e">
        <f t="shared" ca="1" si="19"/>
        <v>#NAME?</v>
      </c>
      <c r="H127" s="96" t="e">
        <f t="shared" ca="1" si="20"/>
        <v>#NAME?</v>
      </c>
      <c r="I127" s="95" t="e">
        <f t="shared" ca="1" si="21"/>
        <v>#NAME?</v>
      </c>
      <c r="J127" s="96" t="e">
        <f t="shared" ca="1" si="22"/>
        <v>#NAME?</v>
      </c>
      <c r="K127" s="95" t="e">
        <f t="shared" ca="1" si="23"/>
        <v>#NAME?</v>
      </c>
    </row>
    <row r="128" spans="4:11" ht="10.5" x14ac:dyDescent="0.15">
      <c r="D128" s="92" t="e">
        <f t="shared" ca="1" si="16"/>
        <v>#NAME?</v>
      </c>
      <c r="E128" s="97" t="e">
        <f t="shared" ca="1" si="17"/>
        <v>#NAME?</v>
      </c>
      <c r="F128" s="97" t="e">
        <f t="shared" ca="1" si="18"/>
        <v>#NAME?</v>
      </c>
      <c r="G128" s="92" t="e">
        <f t="shared" ca="1" si="19"/>
        <v>#NAME?</v>
      </c>
      <c r="H128" s="96" t="e">
        <f t="shared" ca="1" si="20"/>
        <v>#NAME?</v>
      </c>
      <c r="I128" s="95" t="e">
        <f t="shared" ca="1" si="21"/>
        <v>#NAME?</v>
      </c>
      <c r="J128" s="96" t="e">
        <f t="shared" ca="1" si="22"/>
        <v>#NAME?</v>
      </c>
      <c r="K128" s="95" t="e">
        <f t="shared" ca="1" si="23"/>
        <v>#NAME?</v>
      </c>
    </row>
    <row r="129" spans="4:11" ht="10.5" x14ac:dyDescent="0.15">
      <c r="D129" s="92" t="e">
        <f t="shared" ca="1" si="16"/>
        <v>#NAME?</v>
      </c>
      <c r="E129" s="97" t="e">
        <f t="shared" ca="1" si="17"/>
        <v>#NAME?</v>
      </c>
      <c r="F129" s="97" t="e">
        <f t="shared" ca="1" si="18"/>
        <v>#NAME?</v>
      </c>
      <c r="G129" s="92" t="e">
        <f t="shared" ca="1" si="19"/>
        <v>#NAME?</v>
      </c>
      <c r="H129" s="96" t="e">
        <f t="shared" ca="1" si="20"/>
        <v>#NAME?</v>
      </c>
      <c r="I129" s="95" t="e">
        <f t="shared" ca="1" si="21"/>
        <v>#NAME?</v>
      </c>
      <c r="J129" s="96" t="e">
        <f t="shared" ca="1" si="22"/>
        <v>#NAME?</v>
      </c>
      <c r="K129" s="95" t="e">
        <f t="shared" ca="1" si="23"/>
        <v>#NAME?</v>
      </c>
    </row>
    <row r="130" spans="4:11" ht="10.5" x14ac:dyDescent="0.15">
      <c r="D130" s="92" t="e">
        <f t="shared" ca="1" si="16"/>
        <v>#NAME?</v>
      </c>
      <c r="E130" s="97" t="e">
        <f t="shared" ca="1" si="17"/>
        <v>#NAME?</v>
      </c>
      <c r="F130" s="97" t="e">
        <f t="shared" ca="1" si="18"/>
        <v>#NAME?</v>
      </c>
      <c r="G130" s="92" t="e">
        <f t="shared" ca="1" si="19"/>
        <v>#NAME?</v>
      </c>
      <c r="H130" s="96" t="e">
        <f t="shared" ca="1" si="20"/>
        <v>#NAME?</v>
      </c>
      <c r="I130" s="95" t="e">
        <f t="shared" ca="1" si="21"/>
        <v>#NAME?</v>
      </c>
      <c r="J130" s="96" t="e">
        <f t="shared" ca="1" si="22"/>
        <v>#NAME?</v>
      </c>
      <c r="K130" s="95" t="e">
        <f t="shared" ca="1" si="23"/>
        <v>#NAME?</v>
      </c>
    </row>
    <row r="131" spans="4:11" ht="10.5" x14ac:dyDescent="0.15">
      <c r="D131" s="92" t="e">
        <f t="shared" ca="1" si="16"/>
        <v>#NAME?</v>
      </c>
      <c r="E131" s="97" t="e">
        <f t="shared" ca="1" si="17"/>
        <v>#NAME?</v>
      </c>
      <c r="F131" s="97" t="e">
        <f t="shared" ca="1" si="18"/>
        <v>#NAME?</v>
      </c>
      <c r="G131" s="92" t="e">
        <f t="shared" ca="1" si="19"/>
        <v>#NAME?</v>
      </c>
      <c r="H131" s="96" t="e">
        <f t="shared" ca="1" si="20"/>
        <v>#NAME?</v>
      </c>
      <c r="I131" s="95" t="e">
        <f t="shared" ca="1" si="21"/>
        <v>#NAME?</v>
      </c>
      <c r="J131" s="96" t="e">
        <f t="shared" ca="1" si="22"/>
        <v>#NAME?</v>
      </c>
      <c r="K131" s="95" t="e">
        <f t="shared" ca="1" si="23"/>
        <v>#NAME?</v>
      </c>
    </row>
    <row r="132" spans="4:11" ht="10.5" x14ac:dyDescent="0.15">
      <c r="D132" s="92" t="e">
        <f t="shared" ca="1" si="16"/>
        <v>#NAME?</v>
      </c>
      <c r="E132" s="97" t="e">
        <f t="shared" ca="1" si="17"/>
        <v>#NAME?</v>
      </c>
      <c r="F132" s="97" t="e">
        <f t="shared" ca="1" si="18"/>
        <v>#NAME?</v>
      </c>
      <c r="G132" s="92" t="e">
        <f t="shared" ca="1" si="19"/>
        <v>#NAME?</v>
      </c>
      <c r="H132" s="96" t="e">
        <f t="shared" ca="1" si="20"/>
        <v>#NAME?</v>
      </c>
      <c r="I132" s="95" t="e">
        <f t="shared" ca="1" si="21"/>
        <v>#NAME?</v>
      </c>
      <c r="J132" s="96" t="e">
        <f t="shared" ca="1" si="22"/>
        <v>#NAME?</v>
      </c>
      <c r="K132" s="95" t="e">
        <f t="shared" ca="1" si="23"/>
        <v>#NAME?</v>
      </c>
    </row>
    <row r="133" spans="4:11" ht="10.5" x14ac:dyDescent="0.15">
      <c r="D133" s="92" t="e">
        <f t="shared" ca="1" si="16"/>
        <v>#NAME?</v>
      </c>
      <c r="E133" s="97" t="e">
        <f t="shared" ca="1" si="17"/>
        <v>#NAME?</v>
      </c>
      <c r="F133" s="97" t="e">
        <f t="shared" ca="1" si="18"/>
        <v>#NAME?</v>
      </c>
      <c r="G133" s="92" t="e">
        <f t="shared" ca="1" si="19"/>
        <v>#NAME?</v>
      </c>
      <c r="H133" s="96" t="e">
        <f t="shared" ca="1" si="20"/>
        <v>#NAME?</v>
      </c>
      <c r="I133" s="95" t="e">
        <f t="shared" ca="1" si="21"/>
        <v>#NAME?</v>
      </c>
      <c r="J133" s="96" t="e">
        <f t="shared" ca="1" si="22"/>
        <v>#NAME?</v>
      </c>
      <c r="K133" s="95" t="e">
        <f t="shared" ca="1" si="23"/>
        <v>#NAME?</v>
      </c>
    </row>
    <row r="134" spans="4:11" ht="10.5" x14ac:dyDescent="0.15">
      <c r="D134" s="92" t="e">
        <f t="shared" ca="1" si="16"/>
        <v>#NAME?</v>
      </c>
      <c r="E134" s="97" t="e">
        <f t="shared" ca="1" si="17"/>
        <v>#NAME?</v>
      </c>
      <c r="F134" s="97" t="e">
        <f t="shared" ca="1" si="18"/>
        <v>#NAME?</v>
      </c>
      <c r="G134" s="92" t="e">
        <f t="shared" ca="1" si="19"/>
        <v>#NAME?</v>
      </c>
      <c r="H134" s="96" t="e">
        <f t="shared" ca="1" si="20"/>
        <v>#NAME?</v>
      </c>
      <c r="I134" s="95" t="e">
        <f t="shared" ca="1" si="21"/>
        <v>#NAME?</v>
      </c>
      <c r="J134" s="96" t="e">
        <f t="shared" ca="1" si="22"/>
        <v>#NAME?</v>
      </c>
      <c r="K134" s="95" t="e">
        <f t="shared" ca="1" si="23"/>
        <v>#NAME?</v>
      </c>
    </row>
    <row r="135" spans="4:11" ht="10.5" x14ac:dyDescent="0.15">
      <c r="D135" s="92" t="e">
        <f t="shared" ca="1" si="16"/>
        <v>#NAME?</v>
      </c>
      <c r="E135" s="97" t="e">
        <f t="shared" ca="1" si="17"/>
        <v>#NAME?</v>
      </c>
      <c r="F135" s="97" t="e">
        <f t="shared" ca="1" si="18"/>
        <v>#NAME?</v>
      </c>
      <c r="G135" s="92" t="e">
        <f t="shared" ca="1" si="19"/>
        <v>#NAME?</v>
      </c>
      <c r="H135" s="96" t="e">
        <f t="shared" ca="1" si="20"/>
        <v>#NAME?</v>
      </c>
      <c r="I135" s="95" t="e">
        <f t="shared" ca="1" si="21"/>
        <v>#NAME?</v>
      </c>
      <c r="J135" s="96" t="e">
        <f t="shared" ca="1" si="22"/>
        <v>#NAME?</v>
      </c>
      <c r="K135" s="95" t="e">
        <f t="shared" ca="1" si="23"/>
        <v>#NAME?</v>
      </c>
    </row>
    <row r="136" spans="4:11" ht="10.5" x14ac:dyDescent="0.15">
      <c r="D136" s="92" t="e">
        <f t="shared" ca="1" si="16"/>
        <v>#NAME?</v>
      </c>
      <c r="E136" s="97" t="e">
        <f t="shared" ca="1" si="17"/>
        <v>#NAME?</v>
      </c>
      <c r="F136" s="97" t="e">
        <f t="shared" ca="1" si="18"/>
        <v>#NAME?</v>
      </c>
      <c r="G136" s="92" t="e">
        <f t="shared" ca="1" si="19"/>
        <v>#NAME?</v>
      </c>
      <c r="H136" s="96" t="e">
        <f t="shared" ca="1" si="20"/>
        <v>#NAME?</v>
      </c>
      <c r="I136" s="95" t="e">
        <f t="shared" ca="1" si="21"/>
        <v>#NAME?</v>
      </c>
      <c r="J136" s="96" t="e">
        <f t="shared" ca="1" si="22"/>
        <v>#NAME?</v>
      </c>
      <c r="K136" s="95" t="e">
        <f t="shared" ca="1" si="23"/>
        <v>#NAME?</v>
      </c>
    </row>
    <row r="137" spans="4:11" ht="10.5" x14ac:dyDescent="0.15">
      <c r="D137" s="92" t="e">
        <f t="shared" ca="1" si="16"/>
        <v>#NAME?</v>
      </c>
      <c r="E137" s="97" t="e">
        <f t="shared" ca="1" si="17"/>
        <v>#NAME?</v>
      </c>
      <c r="F137" s="97" t="e">
        <f t="shared" ca="1" si="18"/>
        <v>#NAME?</v>
      </c>
      <c r="G137" s="92" t="e">
        <f t="shared" ca="1" si="19"/>
        <v>#NAME?</v>
      </c>
      <c r="H137" s="96" t="e">
        <f t="shared" ca="1" si="20"/>
        <v>#NAME?</v>
      </c>
      <c r="I137" s="95" t="e">
        <f t="shared" ca="1" si="21"/>
        <v>#NAME?</v>
      </c>
      <c r="J137" s="96" t="e">
        <f t="shared" ca="1" si="22"/>
        <v>#NAME?</v>
      </c>
      <c r="K137" s="95" t="e">
        <f t="shared" ca="1" si="23"/>
        <v>#NAME?</v>
      </c>
    </row>
    <row r="138" spans="4:11" ht="10.5" x14ac:dyDescent="0.15">
      <c r="D138" s="92" t="e">
        <f t="shared" ca="1" si="16"/>
        <v>#NAME?</v>
      </c>
      <c r="E138" s="97" t="e">
        <f t="shared" ca="1" si="17"/>
        <v>#NAME?</v>
      </c>
      <c r="F138" s="97" t="e">
        <f t="shared" ca="1" si="18"/>
        <v>#NAME?</v>
      </c>
      <c r="G138" s="92" t="e">
        <f t="shared" ca="1" si="19"/>
        <v>#NAME?</v>
      </c>
      <c r="H138" s="96" t="e">
        <f t="shared" ca="1" si="20"/>
        <v>#NAME?</v>
      </c>
      <c r="I138" s="95" t="e">
        <f t="shared" ca="1" si="21"/>
        <v>#NAME?</v>
      </c>
      <c r="J138" s="96" t="e">
        <f t="shared" ca="1" si="22"/>
        <v>#NAME?</v>
      </c>
      <c r="K138" s="95" t="e">
        <f t="shared" ca="1" si="23"/>
        <v>#NAME?</v>
      </c>
    </row>
    <row r="139" spans="4:11" ht="10.5" x14ac:dyDescent="0.15">
      <c r="D139" s="92" t="e">
        <f t="shared" ca="1" si="16"/>
        <v>#NAME?</v>
      </c>
      <c r="E139" s="97" t="e">
        <f t="shared" ca="1" si="17"/>
        <v>#NAME?</v>
      </c>
      <c r="F139" s="97" t="e">
        <f t="shared" ca="1" si="18"/>
        <v>#NAME?</v>
      </c>
      <c r="G139" s="92" t="e">
        <f t="shared" ca="1" si="19"/>
        <v>#NAME?</v>
      </c>
      <c r="H139" s="96" t="e">
        <f t="shared" ca="1" si="20"/>
        <v>#NAME?</v>
      </c>
      <c r="I139" s="95" t="e">
        <f t="shared" ca="1" si="21"/>
        <v>#NAME?</v>
      </c>
      <c r="J139" s="96" t="e">
        <f t="shared" ca="1" si="22"/>
        <v>#NAME?</v>
      </c>
      <c r="K139" s="95" t="e">
        <f t="shared" ca="1" si="23"/>
        <v>#NAME?</v>
      </c>
    </row>
    <row r="140" spans="4:11" ht="10.5" x14ac:dyDescent="0.15">
      <c r="D140" s="92" t="e">
        <f t="shared" ca="1" si="16"/>
        <v>#NAME?</v>
      </c>
      <c r="E140" s="97" t="e">
        <f t="shared" ca="1" si="17"/>
        <v>#NAME?</v>
      </c>
      <c r="F140" s="97" t="e">
        <f t="shared" ca="1" si="18"/>
        <v>#NAME?</v>
      </c>
      <c r="G140" s="92" t="e">
        <f t="shared" ca="1" si="19"/>
        <v>#NAME?</v>
      </c>
      <c r="H140" s="96" t="e">
        <f t="shared" ca="1" si="20"/>
        <v>#NAME?</v>
      </c>
      <c r="I140" s="95" t="e">
        <f t="shared" ca="1" si="21"/>
        <v>#NAME?</v>
      </c>
      <c r="J140" s="96" t="e">
        <f t="shared" ca="1" si="22"/>
        <v>#NAME?</v>
      </c>
      <c r="K140" s="95" t="e">
        <f t="shared" ca="1" si="23"/>
        <v>#NAME?</v>
      </c>
    </row>
    <row r="141" spans="4:11" ht="10.5" x14ac:dyDescent="0.15">
      <c r="D141" s="92" t="e">
        <f t="shared" ca="1" si="16"/>
        <v>#NAME?</v>
      </c>
      <c r="E141" s="97" t="e">
        <f t="shared" ca="1" si="17"/>
        <v>#NAME?</v>
      </c>
      <c r="F141" s="97" t="e">
        <f t="shared" ca="1" si="18"/>
        <v>#NAME?</v>
      </c>
      <c r="G141" s="92" t="e">
        <f t="shared" ca="1" si="19"/>
        <v>#NAME?</v>
      </c>
      <c r="H141" s="96" t="e">
        <f t="shared" ca="1" si="20"/>
        <v>#NAME?</v>
      </c>
      <c r="I141" s="95" t="e">
        <f t="shared" ca="1" si="21"/>
        <v>#NAME?</v>
      </c>
      <c r="J141" s="96" t="e">
        <f t="shared" ca="1" si="22"/>
        <v>#NAME?</v>
      </c>
      <c r="K141" s="95" t="e">
        <f t="shared" ca="1" si="23"/>
        <v>#NAME?</v>
      </c>
    </row>
    <row r="142" spans="4:11" ht="10.5" x14ac:dyDescent="0.15">
      <c r="D142" s="92" t="e">
        <f t="shared" ca="1" si="16"/>
        <v>#NAME?</v>
      </c>
      <c r="E142" s="97" t="e">
        <f t="shared" ca="1" si="17"/>
        <v>#NAME?</v>
      </c>
      <c r="F142" s="97" t="e">
        <f t="shared" ca="1" si="18"/>
        <v>#NAME?</v>
      </c>
      <c r="G142" s="92" t="e">
        <f t="shared" ca="1" si="19"/>
        <v>#NAME?</v>
      </c>
      <c r="H142" s="96" t="e">
        <f t="shared" ca="1" si="20"/>
        <v>#NAME?</v>
      </c>
      <c r="I142" s="95" t="e">
        <f t="shared" ca="1" si="21"/>
        <v>#NAME?</v>
      </c>
      <c r="J142" s="96" t="e">
        <f t="shared" ca="1" si="22"/>
        <v>#NAME?</v>
      </c>
      <c r="K142" s="95" t="e">
        <f t="shared" ca="1" si="23"/>
        <v>#NAME?</v>
      </c>
    </row>
    <row r="143" spans="4:11" ht="10.5" x14ac:dyDescent="0.15">
      <c r="D143" s="92" t="e">
        <f t="shared" ca="1" si="16"/>
        <v>#NAME?</v>
      </c>
      <c r="E143" s="97" t="e">
        <f t="shared" ca="1" si="17"/>
        <v>#NAME?</v>
      </c>
      <c r="F143" s="97" t="e">
        <f t="shared" ca="1" si="18"/>
        <v>#NAME?</v>
      </c>
      <c r="G143" s="92" t="e">
        <f t="shared" ca="1" si="19"/>
        <v>#NAME?</v>
      </c>
      <c r="H143" s="96" t="e">
        <f t="shared" ca="1" si="20"/>
        <v>#NAME?</v>
      </c>
      <c r="I143" s="95" t="e">
        <f t="shared" ca="1" si="21"/>
        <v>#NAME?</v>
      </c>
      <c r="J143" s="96" t="e">
        <f t="shared" ca="1" si="22"/>
        <v>#NAME?</v>
      </c>
      <c r="K143" s="95" t="e">
        <f t="shared" ca="1" si="23"/>
        <v>#NAME?</v>
      </c>
    </row>
    <row r="144" spans="4:11" ht="10.5" x14ac:dyDescent="0.15">
      <c r="D144" s="92" t="e">
        <f t="shared" ca="1" si="16"/>
        <v>#NAME?</v>
      </c>
      <c r="E144" s="97" t="e">
        <f t="shared" ca="1" si="17"/>
        <v>#NAME?</v>
      </c>
      <c r="F144" s="97" t="e">
        <f t="shared" ca="1" si="18"/>
        <v>#NAME?</v>
      </c>
      <c r="G144" s="92" t="e">
        <f t="shared" ca="1" si="19"/>
        <v>#NAME?</v>
      </c>
      <c r="H144" s="96" t="e">
        <f t="shared" ca="1" si="20"/>
        <v>#NAME?</v>
      </c>
      <c r="I144" s="95" t="e">
        <f t="shared" ca="1" si="21"/>
        <v>#NAME?</v>
      </c>
      <c r="J144" s="96" t="e">
        <f t="shared" ca="1" si="22"/>
        <v>#NAME?</v>
      </c>
      <c r="K144" s="95" t="e">
        <f t="shared" ca="1" si="23"/>
        <v>#NAME?</v>
      </c>
    </row>
    <row r="145" spans="4:11" ht="10.5" x14ac:dyDescent="0.15">
      <c r="D145" s="92" t="e">
        <f t="shared" ca="1" si="16"/>
        <v>#NAME?</v>
      </c>
      <c r="E145" s="97" t="e">
        <f t="shared" ca="1" si="17"/>
        <v>#NAME?</v>
      </c>
      <c r="F145" s="97" t="e">
        <f t="shared" ca="1" si="18"/>
        <v>#NAME?</v>
      </c>
      <c r="G145" s="92" t="e">
        <f t="shared" ca="1" si="19"/>
        <v>#NAME?</v>
      </c>
      <c r="H145" s="96" t="e">
        <f t="shared" ca="1" si="20"/>
        <v>#NAME?</v>
      </c>
      <c r="I145" s="95" t="e">
        <f t="shared" ca="1" si="21"/>
        <v>#NAME?</v>
      </c>
      <c r="J145" s="96" t="e">
        <f t="shared" ca="1" si="22"/>
        <v>#NAME?</v>
      </c>
      <c r="K145" s="95" t="e">
        <f t="shared" ca="1" si="23"/>
        <v>#NAME?</v>
      </c>
    </row>
    <row r="146" spans="4:11" ht="10.5" x14ac:dyDescent="0.15">
      <c r="D146" s="92" t="e">
        <f t="shared" ca="1" si="16"/>
        <v>#NAME?</v>
      </c>
      <c r="E146" s="97" t="e">
        <f t="shared" ca="1" si="17"/>
        <v>#NAME?</v>
      </c>
      <c r="F146" s="97" t="e">
        <f t="shared" ca="1" si="18"/>
        <v>#NAME?</v>
      </c>
      <c r="G146" s="92" t="e">
        <f t="shared" ca="1" si="19"/>
        <v>#NAME?</v>
      </c>
      <c r="H146" s="96" t="e">
        <f t="shared" ca="1" si="20"/>
        <v>#NAME?</v>
      </c>
      <c r="I146" s="95" t="e">
        <f t="shared" ca="1" si="21"/>
        <v>#NAME?</v>
      </c>
      <c r="J146" s="96" t="e">
        <f t="shared" ca="1" si="22"/>
        <v>#NAME?</v>
      </c>
      <c r="K146" s="95" t="e">
        <f t="shared" ca="1" si="23"/>
        <v>#NAME?</v>
      </c>
    </row>
    <row r="147" spans="4:11" ht="10.5" x14ac:dyDescent="0.15">
      <c r="D147" s="92" t="e">
        <f t="shared" ca="1" si="16"/>
        <v>#NAME?</v>
      </c>
      <c r="E147" s="97" t="e">
        <f t="shared" ca="1" si="17"/>
        <v>#NAME?</v>
      </c>
      <c r="F147" s="97" t="e">
        <f t="shared" ca="1" si="18"/>
        <v>#NAME?</v>
      </c>
      <c r="G147" s="92" t="e">
        <f t="shared" ca="1" si="19"/>
        <v>#NAME?</v>
      </c>
      <c r="H147" s="96" t="e">
        <f t="shared" ca="1" si="20"/>
        <v>#NAME?</v>
      </c>
      <c r="I147" s="95" t="e">
        <f t="shared" ca="1" si="21"/>
        <v>#NAME?</v>
      </c>
      <c r="J147" s="96" t="e">
        <f t="shared" ca="1" si="22"/>
        <v>#NAME?</v>
      </c>
      <c r="K147" s="95" t="e">
        <f t="shared" ca="1" si="23"/>
        <v>#NAME?</v>
      </c>
    </row>
    <row r="148" spans="4:11" ht="10.5" x14ac:dyDescent="0.15">
      <c r="D148" s="92" t="e">
        <f t="shared" ca="1" si="16"/>
        <v>#NAME?</v>
      </c>
      <c r="E148" s="97" t="e">
        <f t="shared" ca="1" si="17"/>
        <v>#NAME?</v>
      </c>
      <c r="F148" s="97" t="e">
        <f t="shared" ca="1" si="18"/>
        <v>#NAME?</v>
      </c>
      <c r="G148" s="92" t="e">
        <f t="shared" ca="1" si="19"/>
        <v>#NAME?</v>
      </c>
      <c r="H148" s="96" t="e">
        <f t="shared" ca="1" si="20"/>
        <v>#NAME?</v>
      </c>
      <c r="I148" s="95" t="e">
        <f t="shared" ca="1" si="21"/>
        <v>#NAME?</v>
      </c>
      <c r="J148" s="96" t="e">
        <f t="shared" ca="1" si="22"/>
        <v>#NAME?</v>
      </c>
      <c r="K148" s="95" t="e">
        <f t="shared" ca="1" si="23"/>
        <v>#NAME?</v>
      </c>
    </row>
    <row r="149" spans="4:11" ht="10.5" x14ac:dyDescent="0.15">
      <c r="D149" s="92" t="e">
        <f t="shared" ca="1" si="16"/>
        <v>#NAME?</v>
      </c>
      <c r="E149" s="97" t="e">
        <f t="shared" ca="1" si="17"/>
        <v>#NAME?</v>
      </c>
      <c r="F149" s="97" t="e">
        <f t="shared" ca="1" si="18"/>
        <v>#NAME?</v>
      </c>
      <c r="G149" s="92" t="e">
        <f t="shared" ca="1" si="19"/>
        <v>#NAME?</v>
      </c>
      <c r="H149" s="96" t="e">
        <f t="shared" ca="1" si="20"/>
        <v>#NAME?</v>
      </c>
      <c r="I149" s="95" t="e">
        <f t="shared" ca="1" si="21"/>
        <v>#NAME?</v>
      </c>
      <c r="J149" s="96" t="e">
        <f t="shared" ca="1" si="22"/>
        <v>#NAME?</v>
      </c>
      <c r="K149" s="95" t="e">
        <f t="shared" ca="1" si="23"/>
        <v>#NAME?</v>
      </c>
    </row>
    <row r="150" spans="4:11" ht="10.5" x14ac:dyDescent="0.15">
      <c r="D150" s="92" t="e">
        <f ca="1">gcdist(A149,B149,A150,B150)</f>
        <v>#NAME?</v>
      </c>
      <c r="E150" s="97" t="e">
        <f ca="1">D150/1000</f>
        <v>#NAME?</v>
      </c>
      <c r="F150" s="97" t="e">
        <f ca="1">E150/1.609344</f>
        <v>#NAME?</v>
      </c>
      <c r="G150" s="92" t="e">
        <f ca="1">F150*5280</f>
        <v>#NAME?</v>
      </c>
      <c r="H150" s="96" t="e">
        <f ca="1">H149+G150</f>
        <v>#NAME?</v>
      </c>
      <c r="I150" s="95" t="e">
        <f ca="1">I149+D150</f>
        <v>#NAME?</v>
      </c>
      <c r="J150" s="96" t="e">
        <f ca="1">ROUND(I150,0)</f>
        <v>#NAME?</v>
      </c>
      <c r="K150" s="95" t="e">
        <f ca="1">H150/5280</f>
        <v>#NAME?</v>
      </c>
    </row>
    <row r="151" spans="4:11" ht="10.5" x14ac:dyDescent="0.15">
      <c r="D151" s="92" t="e">
        <f ca="1">gcdist(A150,B150,A151,B151)</f>
        <v>#NAME?</v>
      </c>
      <c r="E151" s="97" t="e">
        <f ca="1">D151/1000</f>
        <v>#NAME?</v>
      </c>
      <c r="F151" s="97" t="e">
        <f ca="1">E151/1.609344</f>
        <v>#NAME?</v>
      </c>
      <c r="G151" s="92" t="e">
        <f ca="1">F151*5280</f>
        <v>#NAME?</v>
      </c>
      <c r="H151" s="96" t="e">
        <f ca="1">H150+G151</f>
        <v>#NAME?</v>
      </c>
      <c r="I151" s="95" t="e">
        <f ca="1">I150+D151</f>
        <v>#NAME?</v>
      </c>
      <c r="J151" s="96" t="e">
        <f ca="1">ROUND(I151,0)</f>
        <v>#NAME?</v>
      </c>
      <c r="K151" s="95" t="e">
        <f ca="1">H151/5280</f>
        <v>#NAME?</v>
      </c>
    </row>
  </sheetData>
  <phoneticPr fontId="11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48"/>
  <sheetViews>
    <sheetView workbookViewId="0">
      <selection activeCell="F2" sqref="F2:G5"/>
    </sheetView>
  </sheetViews>
  <sheetFormatPr defaultColWidth="9.140625" defaultRowHeight="12.75" x14ac:dyDescent="0.2"/>
  <cols>
    <col min="1" max="1" width="10" style="41" bestFit="1" customWidth="1"/>
    <col min="2" max="2" width="11.7109375" style="41" bestFit="1" customWidth="1"/>
    <col min="3" max="3" width="12.140625" bestFit="1" customWidth="1"/>
    <col min="4" max="4" width="6.28515625" style="40" bestFit="1" customWidth="1"/>
    <col min="5" max="5" width="10" style="43" bestFit="1" customWidth="1"/>
    <col min="6" max="6" width="12.140625" bestFit="1" customWidth="1"/>
    <col min="7" max="8" width="12.140625" customWidth="1"/>
    <col min="9" max="16384" width="9.140625" style="8"/>
  </cols>
  <sheetData>
    <row r="1" spans="1:13" s="7" customFormat="1" x14ac:dyDescent="0.2">
      <c r="A1" s="39" t="s">
        <v>2</v>
      </c>
      <c r="B1" s="39" t="s">
        <v>3</v>
      </c>
      <c r="D1" s="71" t="s">
        <v>13</v>
      </c>
      <c r="E1" s="72" t="s">
        <v>14</v>
      </c>
      <c r="F1" s="71" t="s">
        <v>15</v>
      </c>
      <c r="G1" s="71" t="s">
        <v>16</v>
      </c>
      <c r="H1" s="71" t="s">
        <v>17</v>
      </c>
      <c r="I1" s="139" t="s">
        <v>18</v>
      </c>
      <c r="J1" s="139"/>
      <c r="K1" s="139"/>
      <c r="L1" s="139"/>
      <c r="M1" s="139"/>
    </row>
    <row r="2" spans="1:13" x14ac:dyDescent="0.2">
      <c r="A2">
        <v>53.384484977</v>
      </c>
      <c r="B2">
        <v>-115.60744611299999</v>
      </c>
      <c r="C2" s="42"/>
      <c r="D2" s="125">
        <f>utmzone_long(B2)</f>
        <v>11</v>
      </c>
      <c r="E2" s="73" t="str">
        <f>VLOOKUP(INT(A2),Constants!H$17:J$35,3,1)</f>
        <v>U</v>
      </c>
      <c r="F2" s="74">
        <f>northing(A2,B2)</f>
        <v>5915946.2043685177</v>
      </c>
      <c r="G2" s="74">
        <f>easting(A2,B2)</f>
        <v>592619.86029286636</v>
      </c>
      <c r="H2" s="74">
        <f>IF(D2=39,G2+500000,G2)</f>
        <v>592619.86029286636</v>
      </c>
      <c r="I2" s="139"/>
      <c r="J2" s="139"/>
      <c r="K2" s="139"/>
      <c r="L2" s="139"/>
      <c r="M2" s="139"/>
    </row>
    <row r="3" spans="1:13" x14ac:dyDescent="0.2">
      <c r="A3">
        <v>53.384494371999999</v>
      </c>
      <c r="B3">
        <v>-115.60744105000001</v>
      </c>
      <c r="C3" s="42"/>
      <c r="D3" s="125">
        <f>utmzone_long(B3)</f>
        <v>11</v>
      </c>
      <c r="E3" s="73" t="str">
        <f>VLOOKUP(INT(A3),Constants!H$17:J$35,3,1)</f>
        <v>U</v>
      </c>
      <c r="F3" s="74">
        <f>northing(A3,B3)</f>
        <v>5915947.256034052</v>
      </c>
      <c r="G3" s="74">
        <f t="shared" ref="G3:G11" si="0">easting(A3,B3)</f>
        <v>592620.17662580707</v>
      </c>
      <c r="H3" s="74">
        <f t="shared" ref="H3:H13" si="1">IF(D3=39,G3+500000,G3)</f>
        <v>592620.17662580707</v>
      </c>
    </row>
    <row r="4" spans="1:13" x14ac:dyDescent="0.2">
      <c r="A4">
        <v>53.384516843</v>
      </c>
      <c r="B4">
        <v>-115.607432604</v>
      </c>
      <c r="C4" s="42"/>
      <c r="D4" s="125">
        <f t="shared" ref="D4:D10" si="2">utmzone_long(B4)</f>
        <v>11</v>
      </c>
      <c r="E4" s="73" t="str">
        <f>VLOOKUP(INT(A4),Constants!H$17:J$35,3,1)</f>
        <v>U</v>
      </c>
      <c r="F4" s="74">
        <f t="shared" ref="F4:F11" si="3">northing(A4,B4)</f>
        <v>5915949.7666577203</v>
      </c>
      <c r="G4" s="74">
        <f t="shared" si="0"/>
        <v>592620.68956975464</v>
      </c>
      <c r="H4" s="74">
        <f t="shared" si="1"/>
        <v>592620.68956975464</v>
      </c>
    </row>
    <row r="5" spans="1:13" x14ac:dyDescent="0.2">
      <c r="A5">
        <v>53.384555247000002</v>
      </c>
      <c r="B5">
        <v>-115.607415151</v>
      </c>
      <c r="C5" s="42"/>
      <c r="D5" s="125">
        <f t="shared" si="2"/>
        <v>11</v>
      </c>
      <c r="E5" s="73" t="str">
        <f>VLOOKUP(INT(A5),Constants!H$17:J$35,3,1)</f>
        <v>U</v>
      </c>
      <c r="F5" s="74">
        <f t="shared" si="3"/>
        <v>5915954.0613492979</v>
      </c>
      <c r="G5" s="74">
        <f t="shared" si="0"/>
        <v>592621.76695738162</v>
      </c>
      <c r="H5" s="74">
        <f t="shared" si="1"/>
        <v>592621.76695738162</v>
      </c>
    </row>
    <row r="6" spans="1:13" x14ac:dyDescent="0.2">
      <c r="A6">
        <v>53.161751191999997</v>
      </c>
      <c r="B6">
        <v>-114.899286313</v>
      </c>
      <c r="C6" s="42"/>
      <c r="D6" s="125">
        <f t="shared" si="2"/>
        <v>11</v>
      </c>
      <c r="E6" s="73" t="str">
        <f>VLOOKUP(INT(A6),Constants!H$17:J$35,3,1)</f>
        <v>U</v>
      </c>
      <c r="F6" s="74">
        <f t="shared" si="3"/>
        <v>5892325.2198841013</v>
      </c>
      <c r="G6" s="74">
        <f t="shared" si="0"/>
        <v>640443.41009354126</v>
      </c>
      <c r="H6" s="74">
        <f t="shared" si="1"/>
        <v>640443.41009354126</v>
      </c>
    </row>
    <row r="7" spans="1:13" x14ac:dyDescent="0.2">
      <c r="A7">
        <v>53.161612089000002</v>
      </c>
      <c r="B7">
        <v>-114.899278194</v>
      </c>
      <c r="C7" s="42"/>
      <c r="D7" s="125">
        <f t="shared" si="2"/>
        <v>11</v>
      </c>
      <c r="E7" s="73" t="str">
        <f>VLOOKUP(INT(A7),Constants!H$17:J$35,3,1)</f>
        <v>U</v>
      </c>
      <c r="F7" s="74">
        <f t="shared" si="3"/>
        <v>5892309.7642499609</v>
      </c>
      <c r="G7" s="74">
        <f t="shared" si="0"/>
        <v>640444.40701935126</v>
      </c>
      <c r="H7" s="74">
        <f t="shared" si="1"/>
        <v>640444.40701935126</v>
      </c>
    </row>
    <row r="8" spans="1:13" x14ac:dyDescent="0.2">
      <c r="A8">
        <v>51.299471500999999</v>
      </c>
      <c r="B8">
        <v>-113.906990573</v>
      </c>
      <c r="C8" s="42"/>
      <c r="D8" s="125">
        <f t="shared" si="2"/>
        <v>12</v>
      </c>
      <c r="E8" s="73" t="str">
        <f>VLOOKUP(INT(A8),Constants!H$17:J$35,3,1)</f>
        <v>U</v>
      </c>
      <c r="F8" s="74">
        <f t="shared" si="3"/>
        <v>5687141.6728392867</v>
      </c>
      <c r="G8" s="74">
        <f t="shared" si="0"/>
        <v>297352.45983329869</v>
      </c>
      <c r="H8" s="74">
        <f t="shared" si="1"/>
        <v>297352.45983329869</v>
      </c>
    </row>
    <row r="9" spans="1:13" x14ac:dyDescent="0.2">
      <c r="A9">
        <v>51.241487925999998</v>
      </c>
      <c r="B9">
        <v>-113.899804858</v>
      </c>
      <c r="C9" s="42"/>
      <c r="D9" s="125">
        <f t="shared" si="2"/>
        <v>12</v>
      </c>
      <c r="E9" s="73" t="str">
        <f>VLOOKUP(INT(A9),Constants!H$17:J$35,3,1)</f>
        <v>U</v>
      </c>
      <c r="F9" s="74">
        <f t="shared" si="3"/>
        <v>5680675.3474240014</v>
      </c>
      <c r="G9" s="74">
        <f t="shared" si="0"/>
        <v>297598.54566580534</v>
      </c>
      <c r="H9" s="74">
        <f t="shared" si="1"/>
        <v>297598.54566580534</v>
      </c>
    </row>
    <row r="10" spans="1:13" x14ac:dyDescent="0.2">
      <c r="A10">
        <v>51.212390773000003</v>
      </c>
      <c r="B10">
        <v>-113.899855977</v>
      </c>
      <c r="C10" s="42"/>
      <c r="D10" s="125">
        <f t="shared" si="2"/>
        <v>12</v>
      </c>
      <c r="E10" s="73" t="str">
        <f>VLOOKUP(INT(A10),Constants!H$17:J$35,3,1)</f>
        <v>U</v>
      </c>
      <c r="F10" s="74">
        <f t="shared" si="3"/>
        <v>5677440.5409983974</v>
      </c>
      <c r="G10" s="74">
        <f t="shared" si="0"/>
        <v>297467.22176376212</v>
      </c>
      <c r="H10" s="74">
        <f t="shared" si="1"/>
        <v>297467.22176376212</v>
      </c>
    </row>
    <row r="11" spans="1:13" x14ac:dyDescent="0.2">
      <c r="A11">
        <v>51.204885722</v>
      </c>
      <c r="B11">
        <v>-113.899789849</v>
      </c>
      <c r="C11" s="42"/>
      <c r="D11" s="125">
        <f>utmzone_long(B11)</f>
        <v>12</v>
      </c>
      <c r="E11" s="73" t="str">
        <f>VLOOKUP(INT(A11),Constants!H$17:J$35,3,1)</f>
        <v>U</v>
      </c>
      <c r="F11" s="74">
        <f t="shared" si="3"/>
        <v>5676605.9681688333</v>
      </c>
      <c r="G11" s="74">
        <f t="shared" si="0"/>
        <v>297438.89639407292</v>
      </c>
      <c r="H11" s="74">
        <f t="shared" si="1"/>
        <v>297438.89639407292</v>
      </c>
    </row>
    <row r="12" spans="1:13" x14ac:dyDescent="0.2">
      <c r="A12">
        <v>51.182643458999998</v>
      </c>
      <c r="B12">
        <v>-113.900094165</v>
      </c>
      <c r="D12" s="125">
        <f>utmzone_long(B12)</f>
        <v>12</v>
      </c>
      <c r="E12" s="73" t="str">
        <f>VLOOKUP(INT(A12),Constants!H$17:J$35,3,1)</f>
        <v>U</v>
      </c>
      <c r="F12" s="74">
        <f>northing(A12,B12)</f>
        <v>5674133.9797860477</v>
      </c>
      <c r="G12" s="74">
        <f>easting(A12,B12)</f>
        <v>297320.02165746834</v>
      </c>
      <c r="H12" s="74">
        <f t="shared" si="1"/>
        <v>297320.02165746834</v>
      </c>
    </row>
    <row r="13" spans="1:13" x14ac:dyDescent="0.2">
      <c r="A13">
        <v>51.125136114999997</v>
      </c>
      <c r="B13">
        <v>-113.918930308</v>
      </c>
      <c r="D13" s="125">
        <f>utmzone_long(B13)</f>
        <v>12</v>
      </c>
      <c r="E13" s="73" t="str">
        <f>VLOOKUP(INT(A13),Constants!H$17:J$35,3,1)</f>
        <v>U</v>
      </c>
      <c r="F13" s="74">
        <f>northing(A13,B13)</f>
        <v>5667792.6625958094</v>
      </c>
      <c r="G13" s="74">
        <f>easting(A13,B13)</f>
        <v>295749.95909376052</v>
      </c>
      <c r="H13" s="74">
        <f t="shared" si="1"/>
        <v>295749.95909376052</v>
      </c>
    </row>
    <row r="14" spans="1:13" x14ac:dyDescent="0.2">
      <c r="A14">
        <v>51.082160516999998</v>
      </c>
      <c r="B14">
        <v>-113.91800431</v>
      </c>
      <c r="D14" s="125">
        <f t="shared" ref="D14:D28" si="4">utmzone_long(B14)</f>
        <v>12</v>
      </c>
      <c r="E14" s="73" t="str">
        <f>VLOOKUP(INT(A14),Constants!H$17:J$35,3,1)</f>
        <v>U</v>
      </c>
      <c r="F14" s="74">
        <f t="shared" ref="F14:F28" si="5">northing(A14,B14)</f>
        <v>5663012.2655764977</v>
      </c>
      <c r="G14" s="74">
        <f t="shared" ref="G14:G28" si="6">easting(A14,B14)</f>
        <v>295625.20010339323</v>
      </c>
      <c r="H14" s="74">
        <f t="shared" ref="H14:H28" si="7">IF(D14=39,G14+500000,G14)</f>
        <v>295625.20010339323</v>
      </c>
    </row>
    <row r="15" spans="1:13" x14ac:dyDescent="0.2">
      <c r="A15">
        <v>51.044182313</v>
      </c>
      <c r="B15">
        <v>-113.91904386100001</v>
      </c>
      <c r="D15" s="125">
        <f t="shared" si="4"/>
        <v>12</v>
      </c>
      <c r="E15" s="73" t="str">
        <f>VLOOKUP(INT(A15),Constants!H$17:J$35,3,1)</f>
        <v>U</v>
      </c>
      <c r="F15" s="74">
        <f t="shared" si="5"/>
        <v>5658792.9368979493</v>
      </c>
      <c r="G15" s="74">
        <f t="shared" si="6"/>
        <v>295384.93843396503</v>
      </c>
      <c r="H15" s="74">
        <f t="shared" si="7"/>
        <v>295384.93843396503</v>
      </c>
    </row>
    <row r="16" spans="1:13" x14ac:dyDescent="0.2">
      <c r="A16">
        <v>50.996534281999999</v>
      </c>
      <c r="B16">
        <v>-113.917963392</v>
      </c>
      <c r="D16" s="125">
        <f t="shared" si="4"/>
        <v>12</v>
      </c>
      <c r="E16" s="73" t="str">
        <f>VLOOKUP(INT(A16),Constants!H$17:J$35,3,1)</f>
        <v>U</v>
      </c>
      <c r="F16" s="74">
        <f t="shared" si="5"/>
        <v>5653492.7061507646</v>
      </c>
      <c r="G16" s="74">
        <f t="shared" si="6"/>
        <v>295250.76296565047</v>
      </c>
      <c r="H16" s="74">
        <f t="shared" si="7"/>
        <v>295250.76296565047</v>
      </c>
    </row>
    <row r="17" spans="1:8" x14ac:dyDescent="0.2">
      <c r="A17">
        <v>50.973874531</v>
      </c>
      <c r="B17">
        <v>-113.917551968</v>
      </c>
      <c r="D17" s="125">
        <f t="shared" si="4"/>
        <v>12</v>
      </c>
      <c r="E17" s="73" t="str">
        <f>VLOOKUP(INT(A17),Constants!H$17:J$35,3,1)</f>
        <v>U</v>
      </c>
      <c r="F17" s="74">
        <f t="shared" si="5"/>
        <v>5650972.3957813</v>
      </c>
      <c r="G17" s="74">
        <f t="shared" si="6"/>
        <v>295179.87024276127</v>
      </c>
      <c r="H17" s="74">
        <f t="shared" si="7"/>
        <v>295179.87024276127</v>
      </c>
    </row>
    <row r="18" spans="1:8" x14ac:dyDescent="0.2">
      <c r="A18">
        <v>51.881711398999997</v>
      </c>
      <c r="B18">
        <v>-113.913087589</v>
      </c>
      <c r="D18" s="125">
        <f t="shared" si="4"/>
        <v>12</v>
      </c>
      <c r="E18" s="73" t="str">
        <f>VLOOKUP(INT(A18),Constants!H$17:J$35,3,1)</f>
        <v>U</v>
      </c>
      <c r="F18" s="74">
        <f t="shared" si="5"/>
        <v>5751893.3158290787</v>
      </c>
      <c r="G18" s="74">
        <f t="shared" si="6"/>
        <v>299508.77567193517</v>
      </c>
      <c r="H18" s="74">
        <f t="shared" si="7"/>
        <v>299508.77567193517</v>
      </c>
    </row>
    <row r="19" spans="1:8" x14ac:dyDescent="0.2">
      <c r="A19">
        <v>51.852638290999998</v>
      </c>
      <c r="B19">
        <v>-113.912350387</v>
      </c>
      <c r="D19" s="125">
        <f t="shared" si="4"/>
        <v>12</v>
      </c>
      <c r="E19" s="73" t="str">
        <f>VLOOKUP(INT(A19),Constants!H$17:J$35,3,1)</f>
        <v>U</v>
      </c>
      <c r="F19" s="74">
        <f t="shared" si="5"/>
        <v>5748658.7553171357</v>
      </c>
      <c r="G19" s="74">
        <f t="shared" si="6"/>
        <v>299430.14789031318</v>
      </c>
      <c r="H19" s="74">
        <f t="shared" si="7"/>
        <v>299430.14789031318</v>
      </c>
    </row>
    <row r="20" spans="1:8" x14ac:dyDescent="0.2">
      <c r="A20">
        <v>51.823561566999999</v>
      </c>
      <c r="B20">
        <v>-113.91361716900001</v>
      </c>
      <c r="D20" s="125">
        <f t="shared" si="4"/>
        <v>12</v>
      </c>
      <c r="E20" s="73" t="str">
        <f>VLOOKUP(INT(A20),Constants!H$17:J$35,3,1)</f>
        <v>U</v>
      </c>
      <c r="F20" s="74">
        <f t="shared" si="5"/>
        <v>5745429.326616725</v>
      </c>
      <c r="G20" s="74">
        <f t="shared" si="6"/>
        <v>299213.54885903915</v>
      </c>
      <c r="H20" s="74">
        <f t="shared" si="7"/>
        <v>299213.54885903915</v>
      </c>
    </row>
    <row r="21" spans="1:8" x14ac:dyDescent="0.2">
      <c r="A21">
        <v>51.765432392000001</v>
      </c>
      <c r="B21">
        <v>-113.91394342</v>
      </c>
      <c r="D21" s="125">
        <f t="shared" si="4"/>
        <v>12</v>
      </c>
      <c r="E21" s="73" t="str">
        <f>VLOOKUP(INT(A21),Constants!H$17:J$35,3,1)</f>
        <v>U</v>
      </c>
      <c r="F21" s="74">
        <f t="shared" si="5"/>
        <v>5738967.1227466241</v>
      </c>
      <c r="G21" s="74">
        <f t="shared" si="6"/>
        <v>298932.55532029347</v>
      </c>
      <c r="H21" s="74">
        <f t="shared" si="7"/>
        <v>298932.55532029347</v>
      </c>
    </row>
    <row r="22" spans="1:8" x14ac:dyDescent="0.2">
      <c r="A22">
        <v>51.736399317</v>
      </c>
      <c r="B22">
        <v>-113.915535252</v>
      </c>
      <c r="D22" s="125">
        <f t="shared" si="4"/>
        <v>12</v>
      </c>
      <c r="E22" s="73" t="str">
        <f>VLOOKUP(INT(A22),Constants!H$17:J$35,3,1)</f>
        <v>U</v>
      </c>
      <c r="F22" s="74">
        <f t="shared" si="5"/>
        <v>5735743.4857606199</v>
      </c>
      <c r="G22" s="74">
        <f t="shared" si="6"/>
        <v>298693.62820371776</v>
      </c>
      <c r="H22" s="74">
        <f t="shared" si="7"/>
        <v>298693.62820371776</v>
      </c>
    </row>
    <row r="23" spans="1:8" x14ac:dyDescent="0.2">
      <c r="A23">
        <v>51.707412406000003</v>
      </c>
      <c r="B23">
        <v>-113.918703325</v>
      </c>
      <c r="D23" s="125">
        <f t="shared" si="4"/>
        <v>12</v>
      </c>
      <c r="E23" s="73" t="str">
        <f>VLOOKUP(INT(A23),Constants!H$17:J$35,3,1)</f>
        <v>U</v>
      </c>
      <c r="F23" s="74">
        <f t="shared" si="5"/>
        <v>5732529.3537340509</v>
      </c>
      <c r="G23" s="74">
        <f t="shared" si="6"/>
        <v>298345.93622616935</v>
      </c>
      <c r="H23" s="74">
        <f t="shared" si="7"/>
        <v>298345.93622616935</v>
      </c>
    </row>
    <row r="24" spans="1:8" x14ac:dyDescent="0.2">
      <c r="A24">
        <v>51.678354982000002</v>
      </c>
      <c r="B24">
        <v>-113.911907138</v>
      </c>
      <c r="D24" s="125">
        <f t="shared" si="4"/>
        <v>12</v>
      </c>
      <c r="E24" s="73" t="str">
        <f>VLOOKUP(INT(A24),Constants!H$17:J$35,3,1)</f>
        <v>U</v>
      </c>
      <c r="F24" s="74">
        <f t="shared" si="5"/>
        <v>5729279.8750025444</v>
      </c>
      <c r="G24" s="74">
        <f t="shared" si="6"/>
        <v>298686.43974259472</v>
      </c>
      <c r="H24" s="74">
        <f t="shared" si="7"/>
        <v>298686.43974259472</v>
      </c>
    </row>
    <row r="25" spans="1:8" x14ac:dyDescent="0.2">
      <c r="A25">
        <v>51.619848218000001</v>
      </c>
      <c r="B25">
        <v>-113.913177246</v>
      </c>
      <c r="D25" s="125">
        <f t="shared" si="4"/>
        <v>12</v>
      </c>
      <c r="E25" s="73" t="str">
        <f>VLOOKUP(INT(A25),Constants!H$17:J$35,3,1)</f>
        <v>U</v>
      </c>
      <c r="F25" s="74">
        <f t="shared" si="5"/>
        <v>5722778.4128634287</v>
      </c>
      <c r="G25" s="74">
        <f t="shared" si="6"/>
        <v>298339.04809021059</v>
      </c>
      <c r="H25" s="74">
        <f t="shared" si="7"/>
        <v>298339.04809021059</v>
      </c>
    </row>
    <row r="26" spans="1:8" x14ac:dyDescent="0.2">
      <c r="A26">
        <v>51.590546695999997</v>
      </c>
      <c r="B26">
        <v>-113.907657782</v>
      </c>
      <c r="D26" s="125">
        <f t="shared" si="4"/>
        <v>12</v>
      </c>
      <c r="E26" s="73" t="str">
        <f>VLOOKUP(INT(A26),Constants!H$17:J$35,3,1)</f>
        <v>U</v>
      </c>
      <c r="F26" s="74">
        <f t="shared" si="5"/>
        <v>5719505.3674827702</v>
      </c>
      <c r="G26" s="74">
        <f t="shared" si="6"/>
        <v>298591.36284694279</v>
      </c>
      <c r="H26" s="74">
        <f t="shared" si="7"/>
        <v>298591.36284694279</v>
      </c>
    </row>
    <row r="27" spans="1:8" x14ac:dyDescent="0.2">
      <c r="A27">
        <v>51.561369593999999</v>
      </c>
      <c r="B27">
        <v>-113.90625955199999</v>
      </c>
      <c r="D27" s="125">
        <f t="shared" si="4"/>
        <v>12</v>
      </c>
      <c r="E27" s="73" t="str">
        <f>VLOOKUP(INT(A27),Constants!H$17:J$35,3,1)</f>
        <v>U</v>
      </c>
      <c r="F27" s="74">
        <f t="shared" si="5"/>
        <v>5716257.5379295303</v>
      </c>
      <c r="G27" s="74">
        <f t="shared" si="6"/>
        <v>298559.17462704313</v>
      </c>
      <c r="H27" s="74">
        <f t="shared" si="7"/>
        <v>298559.17462704313</v>
      </c>
    </row>
    <row r="28" spans="1:8" x14ac:dyDescent="0.2">
      <c r="A28">
        <v>51.532281578999999</v>
      </c>
      <c r="B28">
        <v>-113.907619196</v>
      </c>
      <c r="D28" s="125">
        <f t="shared" si="4"/>
        <v>12</v>
      </c>
      <c r="E28" s="73" t="str">
        <f>VLOOKUP(INT(A28),Constants!H$17:J$35,3,1)</f>
        <v>U</v>
      </c>
      <c r="F28" s="74">
        <f t="shared" si="5"/>
        <v>5713027.226879105</v>
      </c>
      <c r="G28" s="74">
        <f t="shared" si="6"/>
        <v>298336.31605731277</v>
      </c>
      <c r="H28" s="74">
        <f t="shared" si="7"/>
        <v>298336.31605731277</v>
      </c>
    </row>
    <row r="29" spans="1:8" x14ac:dyDescent="0.2">
      <c r="A29">
        <v>51.503217587000002</v>
      </c>
      <c r="B29">
        <v>-113.90732610400001</v>
      </c>
    </row>
    <row r="30" spans="1:8" x14ac:dyDescent="0.2">
      <c r="A30">
        <v>51.474134477</v>
      </c>
      <c r="B30">
        <v>-113.907169818</v>
      </c>
    </row>
    <row r="31" spans="1:8" x14ac:dyDescent="0.2">
      <c r="A31">
        <v>51.416439126</v>
      </c>
      <c r="B31">
        <v>-113.90646041700001</v>
      </c>
    </row>
    <row r="32" spans="1:8" x14ac:dyDescent="0.2">
      <c r="A32">
        <v>51.386826128999999</v>
      </c>
      <c r="B32">
        <v>-113.908897533</v>
      </c>
    </row>
    <row r="33" spans="1:2" x14ac:dyDescent="0.2">
      <c r="A33">
        <v>51.357933815999999</v>
      </c>
      <c r="B33">
        <v>-113.910993784</v>
      </c>
    </row>
    <row r="34" spans="1:2" x14ac:dyDescent="0.2">
      <c r="A34">
        <v>51.328653858000003</v>
      </c>
      <c r="B34">
        <v>-113.91081756299999</v>
      </c>
    </row>
    <row r="35" spans="1:2" x14ac:dyDescent="0.2">
      <c r="A35">
        <v>51.299471500999999</v>
      </c>
      <c r="B35">
        <v>-113.906990573</v>
      </c>
    </row>
    <row r="36" spans="1:2" x14ac:dyDescent="0.2">
      <c r="A36">
        <v>51.241487925999998</v>
      </c>
      <c r="B36">
        <v>-113.899804858</v>
      </c>
    </row>
    <row r="37" spans="1:2" x14ac:dyDescent="0.2">
      <c r="A37">
        <v>51.212390773000003</v>
      </c>
      <c r="B37">
        <v>-113.899855977</v>
      </c>
    </row>
    <row r="38" spans="1:2" x14ac:dyDescent="0.2">
      <c r="A38">
        <v>51.204885722</v>
      </c>
      <c r="B38">
        <v>-113.899789849</v>
      </c>
    </row>
    <row r="39" spans="1:2" x14ac:dyDescent="0.2">
      <c r="A39">
        <v>51.182643458999998</v>
      </c>
      <c r="B39">
        <v>-113.900094165</v>
      </c>
    </row>
    <row r="40" spans="1:2" x14ac:dyDescent="0.2">
      <c r="A40">
        <v>51.125136114999997</v>
      </c>
      <c r="B40">
        <v>-113.918930308</v>
      </c>
    </row>
    <row r="41" spans="1:2" x14ac:dyDescent="0.2">
      <c r="A41">
        <v>51.082160516999998</v>
      </c>
      <c r="B41">
        <v>-113.91800431</v>
      </c>
    </row>
    <row r="42" spans="1:2" x14ac:dyDescent="0.2">
      <c r="A42">
        <v>51.044182313</v>
      </c>
      <c r="B42">
        <v>-113.91904386100001</v>
      </c>
    </row>
    <row r="43" spans="1:2" x14ac:dyDescent="0.2">
      <c r="A43">
        <v>50.996534281999999</v>
      </c>
      <c r="B43">
        <v>-113.917963392</v>
      </c>
    </row>
    <row r="44" spans="1:2" x14ac:dyDescent="0.2">
      <c r="A44">
        <v>50.973874531</v>
      </c>
      <c r="B44">
        <v>-113.917551968</v>
      </c>
    </row>
    <row r="45" spans="1:2" x14ac:dyDescent="0.2">
      <c r="A45" s="41">
        <v>52.322210990000002</v>
      </c>
      <c r="B45" s="41">
        <v>-113.888122919</v>
      </c>
    </row>
    <row r="46" spans="1:2" x14ac:dyDescent="0.2">
      <c r="A46" s="41">
        <v>52.322149973999998</v>
      </c>
      <c r="B46" s="41">
        <v>-113.888122287</v>
      </c>
    </row>
    <row r="47" spans="1:2" x14ac:dyDescent="0.2">
      <c r="A47" s="41">
        <v>52.322147782999998</v>
      </c>
      <c r="B47" s="41">
        <v>-113.88812336399999</v>
      </c>
    </row>
    <row r="48" spans="1:2" x14ac:dyDescent="0.2">
      <c r="A48" s="41">
        <v>52.322119782000001</v>
      </c>
      <c r="B48" s="41">
        <v>-113.888124207</v>
      </c>
    </row>
  </sheetData>
  <mergeCells count="1">
    <mergeCell ref="I1:M2"/>
  </mergeCells>
  <phoneticPr fontId="1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I126"/>
  <sheetViews>
    <sheetView workbookViewId="0">
      <selection activeCell="E15" sqref="E15"/>
    </sheetView>
  </sheetViews>
  <sheetFormatPr defaultColWidth="9.140625" defaultRowHeight="12.75" x14ac:dyDescent="0.2"/>
  <cols>
    <col min="1" max="1" width="3" style="12" bestFit="1" customWidth="1"/>
    <col min="2" max="2" width="14" style="38" customWidth="1"/>
    <col min="3" max="3" width="15" style="38" customWidth="1"/>
    <col min="4" max="4" width="9.5703125" bestFit="1" customWidth="1"/>
    <col min="5" max="5" width="12.5703125" style="120" bestFit="1" customWidth="1"/>
    <col min="6" max="6" width="14.42578125" style="120" bestFit="1" customWidth="1"/>
    <col min="7" max="8" width="9.140625" style="12"/>
    <col min="9" max="9" width="17" style="12" customWidth="1"/>
    <col min="10" max="16384" width="9.140625" style="12"/>
  </cols>
  <sheetData>
    <row r="1" spans="1:9" s="11" customFormat="1" x14ac:dyDescent="0.2">
      <c r="A1" s="7" t="s">
        <v>19</v>
      </c>
      <c r="B1" s="37" t="s">
        <v>20</v>
      </c>
      <c r="C1" s="37" t="s">
        <v>21</v>
      </c>
      <c r="E1" s="119" t="s">
        <v>2</v>
      </c>
      <c r="F1" s="119" t="s">
        <v>3</v>
      </c>
    </row>
    <row r="2" spans="1:9" x14ac:dyDescent="0.2">
      <c r="A2" s="1">
        <v>12</v>
      </c>
      <c r="B2">
        <v>-92079.703450000001</v>
      </c>
      <c r="C2" t="s">
        <v>262</v>
      </c>
      <c r="E2" s="118">
        <f>latitude(A2,B2,C2)</f>
        <v>-0.58657486128576264</v>
      </c>
      <c r="F2" s="118">
        <f>longitude(A2,B2,C2)</f>
        <v>-66.425856265833758</v>
      </c>
      <c r="H2" t="s">
        <v>22</v>
      </c>
    </row>
    <row r="3" spans="1:9" x14ac:dyDescent="0.2">
      <c r="A3" s="1">
        <v>11</v>
      </c>
      <c r="B3">
        <v>-92079.662169999996</v>
      </c>
      <c r="C3" t="s">
        <v>263</v>
      </c>
      <c r="E3" s="118">
        <f t="shared" ref="E3:E66" si="0">latitude(A3,B3,C3)</f>
        <v>-0.58657480869494849</v>
      </c>
      <c r="F3" s="118">
        <f t="shared" ref="F3:F66" si="1">longitude(A3,B3,C3)</f>
        <v>-72.425874831368859</v>
      </c>
      <c r="H3" t="s">
        <v>23</v>
      </c>
    </row>
    <row r="4" spans="1:9" x14ac:dyDescent="0.2">
      <c r="A4" s="1">
        <v>12</v>
      </c>
      <c r="B4">
        <v>-92079.715890000007</v>
      </c>
      <c r="C4" t="s">
        <v>264</v>
      </c>
      <c r="E4" s="118">
        <f t="shared" si="0"/>
        <v>-0.58657530178745154</v>
      </c>
      <c r="F4" s="118">
        <f t="shared" si="1"/>
        <v>-66.425888142510672</v>
      </c>
      <c r="H4">
        <v>0</v>
      </c>
      <c r="I4" s="12" t="s">
        <v>24</v>
      </c>
    </row>
    <row r="5" spans="1:9" x14ac:dyDescent="0.2">
      <c r="A5" s="1">
        <v>12</v>
      </c>
      <c r="B5">
        <v>-92079.460059999998</v>
      </c>
      <c r="C5" t="s">
        <v>265</v>
      </c>
      <c r="E5" s="118">
        <f t="shared" si="0"/>
        <v>-0.58657408885361739</v>
      </c>
      <c r="F5" s="118">
        <f t="shared" si="1"/>
        <v>-66.425924931677159</v>
      </c>
      <c r="H5" t="s">
        <v>25</v>
      </c>
    </row>
    <row r="6" spans="1:9" x14ac:dyDescent="0.2">
      <c r="A6" s="1">
        <v>12</v>
      </c>
      <c r="B6">
        <v>-90943.562680000003</v>
      </c>
      <c r="C6" t="s">
        <v>266</v>
      </c>
      <c r="E6" s="118">
        <f t="shared" si="0"/>
        <v>-0.57927108843750819</v>
      </c>
      <c r="F6" s="118">
        <f t="shared" si="1"/>
        <v>-66.419994559455105</v>
      </c>
      <c r="H6">
        <v>10</v>
      </c>
      <c r="I6" s="12" t="s">
        <v>26</v>
      </c>
    </row>
    <row r="7" spans="1:9" x14ac:dyDescent="0.2">
      <c r="A7" s="1">
        <v>12</v>
      </c>
      <c r="B7">
        <v>-89267.643819999998</v>
      </c>
      <c r="C7" t="s">
        <v>267</v>
      </c>
      <c r="E7" s="118">
        <f t="shared" si="0"/>
        <v>-0.56849354307192212</v>
      </c>
      <c r="F7" s="118">
        <f t="shared" si="1"/>
        <v>-66.410731561967268</v>
      </c>
      <c r="H7">
        <v>20</v>
      </c>
      <c r="I7" s="12" t="s">
        <v>27</v>
      </c>
    </row>
    <row r="8" spans="1:9" x14ac:dyDescent="0.2">
      <c r="A8" s="1">
        <v>12</v>
      </c>
      <c r="B8">
        <v>-87494.423980000007</v>
      </c>
      <c r="C8" t="s">
        <v>268</v>
      </c>
      <c r="E8" s="118">
        <f t="shared" si="0"/>
        <v>-0.55706605707268153</v>
      </c>
      <c r="F8" s="118">
        <f t="shared" si="1"/>
        <v>-66.398296254959718</v>
      </c>
      <c r="H8">
        <v>30</v>
      </c>
      <c r="I8" s="12" t="s">
        <v>28</v>
      </c>
    </row>
    <row r="9" spans="1:9" x14ac:dyDescent="0.2">
      <c r="A9" s="1">
        <v>12</v>
      </c>
      <c r="B9">
        <v>-86790.478430000003</v>
      </c>
      <c r="C9" t="s">
        <v>269</v>
      </c>
      <c r="E9" s="118">
        <f t="shared" si="0"/>
        <v>-0.55252541730716132</v>
      </c>
      <c r="F9" s="118">
        <f t="shared" si="1"/>
        <v>-66.392837833065215</v>
      </c>
      <c r="H9">
        <v>40</v>
      </c>
      <c r="I9" s="12" t="s">
        <v>29</v>
      </c>
    </row>
    <row r="10" spans="1:9" x14ac:dyDescent="0.2">
      <c r="A10" s="1">
        <v>12</v>
      </c>
      <c r="B10">
        <v>-85949.747539999997</v>
      </c>
      <c r="C10" t="s">
        <v>270</v>
      </c>
      <c r="E10" s="118">
        <f t="shared" si="0"/>
        <v>-0.54703003534888595</v>
      </c>
      <c r="F10" s="118">
        <f t="shared" si="1"/>
        <v>-66.379363938496112</v>
      </c>
      <c r="H10">
        <v>50</v>
      </c>
      <c r="I10" s="12" t="s">
        <v>30</v>
      </c>
    </row>
    <row r="11" spans="1:9" x14ac:dyDescent="0.2">
      <c r="A11" s="1">
        <v>12</v>
      </c>
      <c r="B11">
        <v>-86087.601269999999</v>
      </c>
      <c r="C11" t="s">
        <v>271</v>
      </c>
      <c r="E11" s="118">
        <f t="shared" si="0"/>
        <v>-0.54783720712963646</v>
      </c>
      <c r="F11" s="118">
        <f t="shared" si="1"/>
        <v>-66.372742990905394</v>
      </c>
      <c r="H11">
        <v>60</v>
      </c>
      <c r="I11" s="12" t="s">
        <v>31</v>
      </c>
    </row>
    <row r="12" spans="1:9" x14ac:dyDescent="0.2">
      <c r="A12" s="1">
        <v>12</v>
      </c>
      <c r="B12">
        <v>-84862.167430000001</v>
      </c>
      <c r="C12" t="s">
        <v>272</v>
      </c>
      <c r="E12" s="118">
        <f t="shared" si="0"/>
        <v>-0.53989732967509396</v>
      </c>
      <c r="F12" s="118">
        <f t="shared" si="1"/>
        <v>-66.359270970159514</v>
      </c>
      <c r="H12">
        <v>70</v>
      </c>
      <c r="I12" s="12" t="s">
        <v>32</v>
      </c>
    </row>
    <row r="13" spans="1:9" x14ac:dyDescent="0.2">
      <c r="A13" s="1">
        <v>12</v>
      </c>
      <c r="B13">
        <v>-84232.298190000001</v>
      </c>
      <c r="C13" t="s">
        <v>273</v>
      </c>
      <c r="E13" s="118">
        <f t="shared" si="0"/>
        <v>-0.53581506655305877</v>
      </c>
      <c r="F13" s="118">
        <f t="shared" si="1"/>
        <v>-66.352080871941823</v>
      </c>
      <c r="H13">
        <v>80</v>
      </c>
      <c r="I13" s="12" t="s">
        <v>33</v>
      </c>
    </row>
    <row r="14" spans="1:9" x14ac:dyDescent="0.2">
      <c r="A14" s="1">
        <v>12</v>
      </c>
      <c r="B14">
        <v>-82527.373550000004</v>
      </c>
      <c r="C14" t="s">
        <v>274</v>
      </c>
      <c r="E14" s="118">
        <f t="shared" si="0"/>
        <v>-0.5247684783667993</v>
      </c>
      <c r="F14" s="118">
        <f t="shared" si="1"/>
        <v>-66.332392867207759</v>
      </c>
      <c r="H14">
        <v>90</v>
      </c>
      <c r="I14" s="12" t="s">
        <v>34</v>
      </c>
    </row>
    <row r="15" spans="1:9" x14ac:dyDescent="0.2">
      <c r="A15" s="1">
        <v>12</v>
      </c>
      <c r="B15">
        <v>-80621.251340000003</v>
      </c>
      <c r="C15" t="s">
        <v>275</v>
      </c>
      <c r="E15" s="118">
        <f t="shared" si="0"/>
        <v>-0.51259774963830651</v>
      </c>
      <c r="F15" s="118">
        <f t="shared" si="1"/>
        <v>-66.327427892102079</v>
      </c>
      <c r="H15">
        <v>100</v>
      </c>
      <c r="I15" s="12" t="s">
        <v>26</v>
      </c>
    </row>
    <row r="16" spans="1:9" x14ac:dyDescent="0.2">
      <c r="A16" s="1">
        <v>12</v>
      </c>
      <c r="B16">
        <v>-79455.633279999995</v>
      </c>
      <c r="C16" t="s">
        <v>276</v>
      </c>
      <c r="E16" s="118">
        <f t="shared" si="0"/>
        <v>-0.5050888192902766</v>
      </c>
      <c r="F16" s="118">
        <f t="shared" si="1"/>
        <v>-66.317508548075622</v>
      </c>
      <c r="H16">
        <v>110</v>
      </c>
      <c r="I16" s="12" t="s">
        <v>26</v>
      </c>
    </row>
    <row r="17" spans="1:9" x14ac:dyDescent="0.2">
      <c r="A17" s="1">
        <v>12</v>
      </c>
      <c r="B17">
        <v>-78804.391099999993</v>
      </c>
      <c r="C17" t="s">
        <v>277</v>
      </c>
      <c r="E17" s="118">
        <f t="shared" si="0"/>
        <v>-0.50089546223138137</v>
      </c>
      <c r="F17" s="118">
        <f t="shared" si="1"/>
        <v>-66.312040167342488</v>
      </c>
      <c r="H17">
        <v>120</v>
      </c>
      <c r="I17" s="12" t="s">
        <v>26</v>
      </c>
    </row>
    <row r="18" spans="1:9" x14ac:dyDescent="0.2">
      <c r="A18" s="1">
        <v>12</v>
      </c>
      <c r="B18">
        <v>-77283.878859999997</v>
      </c>
      <c r="C18" t="s">
        <v>278</v>
      </c>
      <c r="E18" s="118">
        <f t="shared" si="0"/>
        <v>-0.49110293158334933</v>
      </c>
      <c r="F18" s="118">
        <f t="shared" si="1"/>
        <v>-66.29871315765611</v>
      </c>
      <c r="H18" t="s">
        <v>35</v>
      </c>
      <c r="I18" s="12" t="s">
        <v>36</v>
      </c>
    </row>
    <row r="19" spans="1:9" x14ac:dyDescent="0.2">
      <c r="A19" s="1">
        <v>12</v>
      </c>
      <c r="B19">
        <v>5956426.9825710002</v>
      </c>
      <c r="C19">
        <v>363151.73032899998</v>
      </c>
      <c r="E19" s="118">
        <f>latitude(A19,B19,C19)</f>
        <v>53.738508661422863</v>
      </c>
      <c r="F19" s="118">
        <f>longitude(A19,B19,C19)</f>
        <v>-113.07486281156098</v>
      </c>
      <c r="H19">
        <v>130</v>
      </c>
      <c r="I19" s="12" t="s">
        <v>37</v>
      </c>
    </row>
    <row r="20" spans="1:9" x14ac:dyDescent="0.2">
      <c r="A20" s="1">
        <v>12</v>
      </c>
      <c r="B20">
        <v>5956468.2538249996</v>
      </c>
      <c r="C20">
        <v>361520.59150400001</v>
      </c>
      <c r="E20" s="118">
        <f t="shared" si="0"/>
        <v>53.738448816577211</v>
      </c>
      <c r="F20" s="118">
        <f t="shared" si="1"/>
        <v>-113.09959409023745</v>
      </c>
      <c r="H20">
        <v>140</v>
      </c>
      <c r="I20" s="12" t="s">
        <v>38</v>
      </c>
    </row>
    <row r="21" spans="1:9" x14ac:dyDescent="0.2">
      <c r="A21" s="1">
        <v>12</v>
      </c>
      <c r="B21">
        <v>5956468.2455590004</v>
      </c>
      <c r="C21">
        <v>361520.58976200002</v>
      </c>
      <c r="E21" s="118">
        <f t="shared" si="0"/>
        <v>53.738448741867217</v>
      </c>
      <c r="F21" s="118">
        <f t="shared" si="1"/>
        <v>-113.0995941129277</v>
      </c>
      <c r="H21">
        <v>150</v>
      </c>
      <c r="I21" s="12" t="s">
        <v>39</v>
      </c>
    </row>
    <row r="22" spans="1:9" x14ac:dyDescent="0.2">
      <c r="A22" s="1">
        <v>12</v>
      </c>
      <c r="B22">
        <v>5957195.7328629997</v>
      </c>
      <c r="C22">
        <v>360182.63460400002</v>
      </c>
      <c r="E22" s="118">
        <f t="shared" si="0"/>
        <v>53.744626168819117</v>
      </c>
      <c r="F22" s="118">
        <f t="shared" si="1"/>
        <v>-113.12019370562291</v>
      </c>
      <c r="H22">
        <v>160</v>
      </c>
      <c r="I22" s="12" t="s">
        <v>40</v>
      </c>
    </row>
    <row r="23" spans="1:9" x14ac:dyDescent="0.2">
      <c r="A23" s="1">
        <v>12</v>
      </c>
      <c r="B23">
        <v>6246651.8706</v>
      </c>
      <c r="C23">
        <v>478792.54599999997</v>
      </c>
      <c r="E23" s="118">
        <f t="shared" si="0"/>
        <v>56.364053648925307</v>
      </c>
      <c r="F23" s="118">
        <f t="shared" si="1"/>
        <v>-111.34327307367893</v>
      </c>
      <c r="H23">
        <v>170</v>
      </c>
      <c r="I23" s="12" t="s">
        <v>41</v>
      </c>
    </row>
    <row r="24" spans="1:9" x14ac:dyDescent="0.2">
      <c r="A24" s="1">
        <v>12</v>
      </c>
      <c r="B24">
        <v>6246594.2081000004</v>
      </c>
      <c r="C24">
        <v>476918.72080000001</v>
      </c>
      <c r="E24" s="118">
        <f t="shared" si="0"/>
        <v>56.363447910331629</v>
      </c>
      <c r="F24" s="118">
        <f t="shared" si="1"/>
        <v>-111.37359785784477</v>
      </c>
      <c r="H24">
        <v>180</v>
      </c>
      <c r="I24" s="12" t="s">
        <v>42</v>
      </c>
    </row>
    <row r="25" spans="1:9" x14ac:dyDescent="0.2">
      <c r="A25" s="1">
        <v>12</v>
      </c>
      <c r="B25">
        <v>6245914.6780000003</v>
      </c>
      <c r="C25">
        <v>475316.52720000001</v>
      </c>
      <c r="E25" s="118">
        <f t="shared" si="0"/>
        <v>56.357262019298894</v>
      </c>
      <c r="F25" s="118">
        <f t="shared" si="1"/>
        <v>-111.39946672875163</v>
      </c>
      <c r="H25">
        <v>190</v>
      </c>
      <c r="I25" s="12" t="s">
        <v>43</v>
      </c>
    </row>
    <row r="26" spans="1:9" x14ac:dyDescent="0.2">
      <c r="A26" s="1">
        <v>12</v>
      </c>
      <c r="B26">
        <v>6245923.9463999998</v>
      </c>
      <c r="C26">
        <v>473661.51620000001</v>
      </c>
      <c r="E26" s="118">
        <f t="shared" si="0"/>
        <v>56.357256090439662</v>
      </c>
      <c r="F26" s="118">
        <f t="shared" si="1"/>
        <v>-111.42625083475333</v>
      </c>
      <c r="H26">
        <v>200</v>
      </c>
      <c r="I26" s="12" t="s">
        <v>44</v>
      </c>
    </row>
    <row r="27" spans="1:9" x14ac:dyDescent="0.2">
      <c r="A27" s="1">
        <v>12</v>
      </c>
      <c r="B27">
        <v>6244937.9992000004</v>
      </c>
      <c r="C27">
        <v>472026.7291</v>
      </c>
      <c r="E27" s="118">
        <f t="shared" si="0"/>
        <v>56.348304406186251</v>
      </c>
      <c r="F27" s="118">
        <f t="shared" si="1"/>
        <v>-111.45260170427875</v>
      </c>
      <c r="H27">
        <v>210</v>
      </c>
      <c r="I27" s="12" t="s">
        <v>45</v>
      </c>
    </row>
    <row r="28" spans="1:9" x14ac:dyDescent="0.2">
      <c r="A28" s="1">
        <v>12</v>
      </c>
      <c r="B28">
        <v>6245022.3713999996</v>
      </c>
      <c r="C28">
        <v>468556.63939999999</v>
      </c>
      <c r="E28" s="118">
        <f t="shared" si="0"/>
        <v>56.348844693729113</v>
      </c>
      <c r="F28" s="118">
        <f t="shared" si="1"/>
        <v>-111.50875476282702</v>
      </c>
      <c r="H28">
        <v>220</v>
      </c>
      <c r="I28" s="12" t="s">
        <v>46</v>
      </c>
    </row>
    <row r="29" spans="1:9" x14ac:dyDescent="0.2">
      <c r="A29" s="1">
        <v>12</v>
      </c>
      <c r="B29">
        <v>6245065.2673000004</v>
      </c>
      <c r="C29">
        <v>465146.35570000001</v>
      </c>
      <c r="E29" s="118">
        <f t="shared" si="0"/>
        <v>56.348991322261213</v>
      </c>
      <c r="F29" s="118">
        <f t="shared" si="1"/>
        <v>-111.56393609843829</v>
      </c>
      <c r="H29" t="s">
        <v>47</v>
      </c>
      <c r="I29" s="12" t="s">
        <v>48</v>
      </c>
    </row>
    <row r="30" spans="1:9" x14ac:dyDescent="0.2">
      <c r="A30" s="1">
        <v>12</v>
      </c>
      <c r="B30">
        <v>6245054.2911999999</v>
      </c>
      <c r="C30">
        <v>467167.27840000001</v>
      </c>
      <c r="E30" s="118">
        <f t="shared" si="0"/>
        <v>56.349037160588324</v>
      </c>
      <c r="F30" s="118">
        <f t="shared" si="1"/>
        <v>-111.53123759450975</v>
      </c>
      <c r="H30">
        <v>230</v>
      </c>
      <c r="I30" s="12" t="s">
        <v>49</v>
      </c>
    </row>
    <row r="31" spans="1:9" x14ac:dyDescent="0.2">
      <c r="A31" s="1">
        <v>12</v>
      </c>
      <c r="B31">
        <v>6244133.0924000004</v>
      </c>
      <c r="C31">
        <v>462273.08429999999</v>
      </c>
      <c r="E31" s="118">
        <f t="shared" si="0"/>
        <v>56.340396509107741</v>
      </c>
      <c r="F31" s="118">
        <f t="shared" si="1"/>
        <v>-111.61028938282931</v>
      </c>
      <c r="H31">
        <v>240</v>
      </c>
      <c r="I31" s="12" t="s">
        <v>50</v>
      </c>
    </row>
    <row r="32" spans="1:9" x14ac:dyDescent="0.2">
      <c r="A32" s="1">
        <v>12</v>
      </c>
      <c r="B32">
        <v>6243812.9401000002</v>
      </c>
      <c r="C32">
        <v>461331.17489999998</v>
      </c>
      <c r="E32" s="118">
        <f t="shared" si="0"/>
        <v>56.337444326765421</v>
      </c>
      <c r="F32" s="118">
        <f t="shared" si="1"/>
        <v>-111.62547810999999</v>
      </c>
      <c r="H32">
        <v>250</v>
      </c>
      <c r="I32" s="12" t="s">
        <v>51</v>
      </c>
    </row>
    <row r="33" spans="1:9" x14ac:dyDescent="0.2">
      <c r="A33" s="1">
        <v>12</v>
      </c>
      <c r="B33">
        <v>6243414.7213000003</v>
      </c>
      <c r="C33">
        <v>459013.40639999998</v>
      </c>
      <c r="E33" s="118">
        <f t="shared" si="0"/>
        <v>56.333671914225626</v>
      </c>
      <c r="F33" s="118">
        <f t="shared" si="1"/>
        <v>-111.66290382894071</v>
      </c>
      <c r="H33">
        <v>260</v>
      </c>
      <c r="I33" s="12" t="s">
        <v>52</v>
      </c>
    </row>
    <row r="34" spans="1:9" x14ac:dyDescent="0.2">
      <c r="A34" s="1">
        <v>12</v>
      </c>
      <c r="B34">
        <v>6242759.0099999998</v>
      </c>
      <c r="C34">
        <v>457370.23249999998</v>
      </c>
      <c r="E34" s="118">
        <f t="shared" si="0"/>
        <v>56.327636124107919</v>
      </c>
      <c r="F34" s="118">
        <f t="shared" si="1"/>
        <v>-111.68937166699411</v>
      </c>
      <c r="H34">
        <v>270</v>
      </c>
      <c r="I34" s="12" t="s">
        <v>53</v>
      </c>
    </row>
    <row r="35" spans="1:9" x14ac:dyDescent="0.2">
      <c r="A35" s="1">
        <v>12</v>
      </c>
      <c r="B35">
        <v>6242773.4549000002</v>
      </c>
      <c r="C35">
        <v>455721.57530000003</v>
      </c>
      <c r="E35" s="118">
        <f t="shared" si="0"/>
        <v>56.327614712323253</v>
      </c>
      <c r="F35" s="118">
        <f t="shared" si="1"/>
        <v>-111.71603244592099</v>
      </c>
      <c r="H35">
        <v>280</v>
      </c>
      <c r="I35" s="12" t="s">
        <v>54</v>
      </c>
    </row>
    <row r="36" spans="1:9" x14ac:dyDescent="0.2">
      <c r="A36" s="1">
        <v>12</v>
      </c>
      <c r="B36">
        <v>6241719.7532000002</v>
      </c>
      <c r="C36">
        <v>454077.80089999997</v>
      </c>
      <c r="E36" s="118">
        <f t="shared" si="0"/>
        <v>56.317992110359924</v>
      </c>
      <c r="F36" s="118">
        <f t="shared" si="1"/>
        <v>-111.74242793835164</v>
      </c>
      <c r="H36">
        <v>290</v>
      </c>
      <c r="I36" s="12" t="s">
        <v>55</v>
      </c>
    </row>
    <row r="37" spans="1:9" x14ac:dyDescent="0.2">
      <c r="A37" s="1">
        <v>12</v>
      </c>
      <c r="B37">
        <v>6241719.6612</v>
      </c>
      <c r="C37">
        <v>454077.69099999999</v>
      </c>
      <c r="E37" s="118">
        <f t="shared" si="0"/>
        <v>56.3179912732109</v>
      </c>
      <c r="F37" s="118">
        <f t="shared" si="1"/>
        <v>-111.74242969890845</v>
      </c>
      <c r="H37">
        <v>290</v>
      </c>
      <c r="I37" s="12" t="s">
        <v>56</v>
      </c>
    </row>
    <row r="38" spans="1:9" x14ac:dyDescent="0.2">
      <c r="A38" s="1">
        <v>12</v>
      </c>
      <c r="B38">
        <v>6241247.5241999999</v>
      </c>
      <c r="C38">
        <v>452466.36599999998</v>
      </c>
      <c r="E38" s="118">
        <f t="shared" si="0"/>
        <v>56.313590916098846</v>
      </c>
      <c r="F38" s="118">
        <f t="shared" si="1"/>
        <v>-111.76839234472197</v>
      </c>
      <c r="H38">
        <v>300</v>
      </c>
      <c r="I38" s="12" t="s">
        <v>57</v>
      </c>
    </row>
    <row r="39" spans="1:9" x14ac:dyDescent="0.2">
      <c r="A39" s="1">
        <v>12</v>
      </c>
      <c r="B39">
        <v>6240691.2410000004</v>
      </c>
      <c r="C39">
        <v>450809.80300000001</v>
      </c>
      <c r="E39" s="118">
        <f t="shared" si="0"/>
        <v>56.308424503994189</v>
      </c>
      <c r="F39" s="118">
        <f t="shared" si="1"/>
        <v>-111.79506439010251</v>
      </c>
      <c r="H39">
        <v>310</v>
      </c>
      <c r="I39" s="12" t="s">
        <v>58</v>
      </c>
    </row>
    <row r="40" spans="1:9" x14ac:dyDescent="0.2">
      <c r="A40" s="1">
        <v>12</v>
      </c>
      <c r="B40">
        <v>6240553.1969999997</v>
      </c>
      <c r="C40">
        <v>449201.60649999999</v>
      </c>
      <c r="E40" s="118">
        <f t="shared" si="0"/>
        <v>56.307014832572833</v>
      </c>
      <c r="F40" s="118">
        <f t="shared" si="1"/>
        <v>-111.82102821083032</v>
      </c>
      <c r="H40">
        <v>320</v>
      </c>
      <c r="I40" s="12" t="s">
        <v>59</v>
      </c>
    </row>
    <row r="41" spans="1:9" x14ac:dyDescent="0.2">
      <c r="A41" s="1">
        <v>12</v>
      </c>
      <c r="B41">
        <v>6240371.5439999998</v>
      </c>
      <c r="C41">
        <v>447550.1851</v>
      </c>
      <c r="E41" s="118">
        <f t="shared" si="0"/>
        <v>56.305203184415817</v>
      </c>
      <c r="F41" s="118">
        <f t="shared" si="1"/>
        <v>-111.84767989911415</v>
      </c>
      <c r="H41">
        <v>320</v>
      </c>
      <c r="I41" s="12" t="s">
        <v>60</v>
      </c>
    </row>
    <row r="42" spans="1:9" x14ac:dyDescent="0.2">
      <c r="A42" s="1">
        <v>12</v>
      </c>
      <c r="B42">
        <v>6240399.0979000004</v>
      </c>
      <c r="C42">
        <v>445938.37280000001</v>
      </c>
      <c r="E42" s="118">
        <f t="shared" si="0"/>
        <v>56.305269726347326</v>
      </c>
      <c r="F42" s="118">
        <f t="shared" si="1"/>
        <v>-111.87373186143466</v>
      </c>
      <c r="H42">
        <v>330</v>
      </c>
      <c r="I42" s="12" t="s">
        <v>61</v>
      </c>
    </row>
    <row r="43" spans="1:9" x14ac:dyDescent="0.2">
      <c r="A43" s="1">
        <v>12</v>
      </c>
      <c r="B43">
        <v>6239459.2379000001</v>
      </c>
      <c r="C43">
        <v>443427.44549999997</v>
      </c>
      <c r="E43" s="118">
        <f t="shared" si="0"/>
        <v>56.296533765616381</v>
      </c>
      <c r="F43" s="118">
        <f t="shared" si="1"/>
        <v>-111.91410559717457</v>
      </c>
      <c r="H43" t="s">
        <v>62</v>
      </c>
    </row>
    <row r="44" spans="1:9" x14ac:dyDescent="0.2">
      <c r="A44" s="1">
        <v>12</v>
      </c>
      <c r="B44">
        <v>6239459.2551999995</v>
      </c>
      <c r="C44">
        <v>443422.80599999998</v>
      </c>
      <c r="E44" s="118">
        <f t="shared" si="0"/>
        <v>56.296533367779659</v>
      </c>
      <c r="F44" s="118">
        <f t="shared" si="1"/>
        <v>-111.91418055567171</v>
      </c>
      <c r="H44">
        <v>340</v>
      </c>
      <c r="I44" s="12" t="s">
        <v>63</v>
      </c>
    </row>
    <row r="45" spans="1:9" x14ac:dyDescent="0.2">
      <c r="A45" s="1">
        <v>12</v>
      </c>
      <c r="B45">
        <v>6239459.1612</v>
      </c>
      <c r="C45">
        <v>443417.35590000002</v>
      </c>
      <c r="E45" s="118">
        <f t="shared" si="0"/>
        <v>56.296531873374292</v>
      </c>
      <c r="F45" s="118">
        <f t="shared" si="1"/>
        <v>-111.91426858617716</v>
      </c>
      <c r="H45" t="s">
        <v>64</v>
      </c>
      <c r="I45" s="12" t="s">
        <v>65</v>
      </c>
    </row>
    <row r="46" spans="1:9" x14ac:dyDescent="0.2">
      <c r="A46" s="1">
        <v>12</v>
      </c>
      <c r="B46">
        <v>6239459.1261</v>
      </c>
      <c r="C46">
        <v>443412.19420000003</v>
      </c>
      <c r="E46" s="118">
        <f t="shared" si="0"/>
        <v>56.296530942425569</v>
      </c>
      <c r="F46" s="118">
        <f t="shared" si="1"/>
        <v>-111.91435196998029</v>
      </c>
      <c r="H46" t="s">
        <v>66</v>
      </c>
      <c r="I46" s="12" t="s">
        <v>65</v>
      </c>
    </row>
    <row r="47" spans="1:9" ht="15.75" x14ac:dyDescent="0.25">
      <c r="A47" s="1">
        <v>12</v>
      </c>
      <c r="B47" s="122">
        <v>5662108.5729999999</v>
      </c>
      <c r="C47" s="122">
        <v>385569.16499999998</v>
      </c>
      <c r="E47" s="118">
        <f t="shared" si="0"/>
        <v>51.099037540988888</v>
      </c>
      <c r="F47" s="118">
        <f t="shared" si="1"/>
        <v>-112.63430332673636</v>
      </c>
      <c r="H47" s="124" t="s">
        <v>67</v>
      </c>
      <c r="I47" s="12" t="s">
        <v>68</v>
      </c>
    </row>
    <row r="48" spans="1:9" ht="15.75" x14ac:dyDescent="0.25">
      <c r="A48" s="1">
        <v>12</v>
      </c>
      <c r="B48" s="122">
        <v>5660892.6560000004</v>
      </c>
      <c r="C48" s="122">
        <v>387277.04200000002</v>
      </c>
      <c r="E48" s="118">
        <f t="shared" si="0"/>
        <v>51.08844623332007</v>
      </c>
      <c r="F48" s="118">
        <f t="shared" si="1"/>
        <v>-112.60954222281794</v>
      </c>
      <c r="H48" s="124" t="s">
        <v>69</v>
      </c>
      <c r="I48" s="12" t="s">
        <v>70</v>
      </c>
    </row>
    <row r="49" spans="1:9" ht="15.75" x14ac:dyDescent="0.25">
      <c r="A49" s="1">
        <v>12</v>
      </c>
      <c r="B49" s="122">
        <v>5659095.4900000002</v>
      </c>
      <c r="C49" s="122">
        <v>390503.08299999998</v>
      </c>
      <c r="E49" s="118">
        <f t="shared" si="0"/>
        <v>51.072916431649638</v>
      </c>
      <c r="F49" s="118">
        <f t="shared" si="1"/>
        <v>-112.5629524949408</v>
      </c>
      <c r="H49" s="124" t="s">
        <v>71</v>
      </c>
      <c r="I49" s="12" t="s">
        <v>70</v>
      </c>
    </row>
    <row r="50" spans="1:9" ht="15.75" x14ac:dyDescent="0.25">
      <c r="A50" s="1">
        <v>12</v>
      </c>
      <c r="B50" s="122">
        <v>5658112.6109999996</v>
      </c>
      <c r="C50" s="122">
        <v>392120.93599999999</v>
      </c>
      <c r="E50" s="118">
        <f t="shared" si="0"/>
        <v>51.064387610247728</v>
      </c>
      <c r="F50" s="118">
        <f t="shared" si="1"/>
        <v>-112.53957513977754</v>
      </c>
      <c r="H50" s="124" t="s">
        <v>72</v>
      </c>
      <c r="I50" s="12" t="s">
        <v>70</v>
      </c>
    </row>
    <row r="51" spans="1:9" ht="15.75" x14ac:dyDescent="0.25">
      <c r="A51" s="1">
        <v>12</v>
      </c>
      <c r="B51" s="122">
        <v>5657486.0470000003</v>
      </c>
      <c r="C51" s="122">
        <v>393277.90600000002</v>
      </c>
      <c r="E51" s="118">
        <f t="shared" si="0"/>
        <v>51.058971551654025</v>
      </c>
      <c r="F51" s="118">
        <f t="shared" si="1"/>
        <v>-112.52288510714681</v>
      </c>
      <c r="H51" s="124" t="s">
        <v>73</v>
      </c>
      <c r="I51" s="12" t="s">
        <v>70</v>
      </c>
    </row>
    <row r="52" spans="1:9" ht="15.75" x14ac:dyDescent="0.25">
      <c r="A52" s="1">
        <v>12</v>
      </c>
      <c r="B52" s="122">
        <v>5656080.8470000001</v>
      </c>
      <c r="C52" s="122">
        <v>395957.01</v>
      </c>
      <c r="E52" s="118">
        <f t="shared" si="0"/>
        <v>51.046831399025393</v>
      </c>
      <c r="F52" s="118">
        <f t="shared" si="1"/>
        <v>-112.48426525743304</v>
      </c>
      <c r="H52" s="124" t="s">
        <v>74</v>
      </c>
      <c r="I52" s="12" t="s">
        <v>70</v>
      </c>
    </row>
    <row r="53" spans="1:9" ht="15.75" x14ac:dyDescent="0.25">
      <c r="A53" s="1">
        <v>12</v>
      </c>
      <c r="B53" s="122">
        <v>5654626.0889999997</v>
      </c>
      <c r="C53" s="122">
        <v>398538.47200000001</v>
      </c>
      <c r="E53" s="118">
        <f t="shared" si="0"/>
        <v>51.034215558750866</v>
      </c>
      <c r="F53" s="118">
        <f t="shared" si="1"/>
        <v>-112.4470436390308</v>
      </c>
      <c r="H53" s="124" t="s">
        <v>75</v>
      </c>
      <c r="I53" s="12" t="s">
        <v>70</v>
      </c>
    </row>
    <row r="54" spans="1:9" ht="15.75" x14ac:dyDescent="0.25">
      <c r="A54" s="1">
        <v>12</v>
      </c>
      <c r="B54" s="122">
        <v>5652796.4029999999</v>
      </c>
      <c r="C54" s="122">
        <v>401770.66</v>
      </c>
      <c r="E54" s="118">
        <f t="shared" si="0"/>
        <v>51.018328710435021</v>
      </c>
      <c r="F54" s="118">
        <f t="shared" si="1"/>
        <v>-112.40046536690082</v>
      </c>
      <c r="H54" s="124" t="s">
        <v>76</v>
      </c>
      <c r="I54" s="12" t="s">
        <v>70</v>
      </c>
    </row>
    <row r="55" spans="1:9" ht="15.75" x14ac:dyDescent="0.25">
      <c r="A55" s="1">
        <v>12</v>
      </c>
      <c r="B55" s="122">
        <v>5651665.2889999999</v>
      </c>
      <c r="C55" s="122">
        <v>403313.80300000001</v>
      </c>
      <c r="E55" s="118">
        <f t="shared" si="0"/>
        <v>51.008421705307228</v>
      </c>
      <c r="F55" s="118">
        <f t="shared" si="1"/>
        <v>-112.37817001635413</v>
      </c>
      <c r="H55" s="124" t="s">
        <v>77</v>
      </c>
      <c r="I55" s="12" t="s">
        <v>68</v>
      </c>
    </row>
    <row r="56" spans="1:9" ht="15.75" x14ac:dyDescent="0.25">
      <c r="A56" s="1">
        <v>12</v>
      </c>
      <c r="B56" s="122">
        <v>5650515.7659999998</v>
      </c>
      <c r="C56" s="122">
        <v>404984.47200000001</v>
      </c>
      <c r="E56" s="118">
        <f t="shared" si="0"/>
        <v>50.998365933876265</v>
      </c>
      <c r="F56" s="118">
        <f t="shared" si="1"/>
        <v>-112.35406247724606</v>
      </c>
      <c r="H56" s="124" t="s">
        <v>78</v>
      </c>
      <c r="I56" s="12" t="s">
        <v>70</v>
      </c>
    </row>
    <row r="57" spans="1:9" ht="15.75" x14ac:dyDescent="0.25">
      <c r="A57" s="1">
        <v>12</v>
      </c>
      <c r="B57" s="122">
        <v>5648366.1739999996</v>
      </c>
      <c r="C57" s="122">
        <v>408229.75799999997</v>
      </c>
      <c r="E57" s="118">
        <f t="shared" si="0"/>
        <v>50.979567506439835</v>
      </c>
      <c r="F57" s="118">
        <f t="shared" si="1"/>
        <v>-112.30728410167521</v>
      </c>
      <c r="H57" s="124" t="s">
        <v>79</v>
      </c>
      <c r="I57" s="12" t="s">
        <v>70</v>
      </c>
    </row>
    <row r="58" spans="1:9" ht="15.75" x14ac:dyDescent="0.25">
      <c r="A58" s="1">
        <v>12</v>
      </c>
      <c r="B58" s="122">
        <v>5647126.8640000001</v>
      </c>
      <c r="C58" s="122">
        <v>409818.57500000001</v>
      </c>
      <c r="E58" s="118">
        <f t="shared" si="0"/>
        <v>50.968676820311948</v>
      </c>
      <c r="F58" s="118">
        <f t="shared" si="1"/>
        <v>-112.28434984313824</v>
      </c>
      <c r="H58" s="124" t="s">
        <v>80</v>
      </c>
      <c r="I58" s="12" t="s">
        <v>70</v>
      </c>
    </row>
    <row r="59" spans="1:9" ht="15.75" x14ac:dyDescent="0.25">
      <c r="A59" s="1">
        <v>12</v>
      </c>
      <c r="B59" s="122">
        <v>5645872.2489999998</v>
      </c>
      <c r="C59" s="122">
        <v>411426.03</v>
      </c>
      <c r="E59" s="118">
        <f t="shared" si="0"/>
        <v>50.957646802531634</v>
      </c>
      <c r="F59" s="118">
        <f t="shared" si="1"/>
        <v>-112.26115724327792</v>
      </c>
      <c r="H59" s="124" t="s">
        <v>81</v>
      </c>
      <c r="I59" s="12" t="s">
        <v>70</v>
      </c>
    </row>
    <row r="60" spans="1:9" ht="15.75" x14ac:dyDescent="0.25">
      <c r="A60" s="1">
        <v>12</v>
      </c>
      <c r="B60" s="122">
        <v>5644723.2230000002</v>
      </c>
      <c r="C60" s="122">
        <v>413047.60100000002</v>
      </c>
      <c r="E60" s="118">
        <f t="shared" si="0"/>
        <v>50.947563507749322</v>
      </c>
      <c r="F60" s="118">
        <f t="shared" si="1"/>
        <v>-112.23779991271878</v>
      </c>
      <c r="H60" s="124" t="s">
        <v>82</v>
      </c>
      <c r="I60" s="12" t="s">
        <v>70</v>
      </c>
    </row>
    <row r="61" spans="1:9" ht="15.75" x14ac:dyDescent="0.25">
      <c r="A61" s="1">
        <v>12</v>
      </c>
      <c r="B61" s="122">
        <v>5644020.0089999996</v>
      </c>
      <c r="C61" s="122">
        <v>414665.71500000003</v>
      </c>
      <c r="E61" s="118">
        <f t="shared" si="0"/>
        <v>50.941483048180686</v>
      </c>
      <c r="F61" s="118">
        <f t="shared" si="1"/>
        <v>-112.21460626748643</v>
      </c>
      <c r="H61" s="124" t="s">
        <v>83</v>
      </c>
      <c r="I61" s="12" t="s">
        <v>70</v>
      </c>
    </row>
    <row r="62" spans="1:9" ht="15.75" x14ac:dyDescent="0.25">
      <c r="A62" s="1">
        <v>12</v>
      </c>
      <c r="B62" s="122">
        <v>5643101.2609999999</v>
      </c>
      <c r="C62" s="122">
        <v>416285.571</v>
      </c>
      <c r="E62" s="118">
        <f t="shared" si="0"/>
        <v>50.93346039594222</v>
      </c>
      <c r="F62" s="118">
        <f t="shared" si="1"/>
        <v>-112.19134430759838</v>
      </c>
      <c r="H62" s="124" t="s">
        <v>84</v>
      </c>
      <c r="I62" s="12" t="s">
        <v>70</v>
      </c>
    </row>
    <row r="63" spans="1:9" ht="15.75" x14ac:dyDescent="0.25">
      <c r="A63" s="1">
        <v>12</v>
      </c>
      <c r="B63" s="122">
        <v>5642277.926</v>
      </c>
      <c r="C63" s="122">
        <v>417906.42800000001</v>
      </c>
      <c r="E63" s="118">
        <f t="shared" si="0"/>
        <v>50.926291022439095</v>
      </c>
      <c r="F63" s="118">
        <f t="shared" si="1"/>
        <v>-112.16809754468392</v>
      </c>
      <c r="H63" s="124" t="s">
        <v>85</v>
      </c>
      <c r="I63" s="12" t="s">
        <v>70</v>
      </c>
    </row>
    <row r="64" spans="1:9" ht="15.75" x14ac:dyDescent="0.25">
      <c r="A64" s="1">
        <v>12</v>
      </c>
      <c r="B64" s="122">
        <v>5641451.6189999999</v>
      </c>
      <c r="C64" s="122">
        <v>419532.01299999998</v>
      </c>
      <c r="E64" s="118">
        <f t="shared" si="0"/>
        <v>50.91909090452593</v>
      </c>
      <c r="F64" s="118">
        <f t="shared" si="1"/>
        <v>-112.14478996711711</v>
      </c>
      <c r="H64" s="124" t="s">
        <v>86</v>
      </c>
      <c r="I64" s="12" t="s">
        <v>70</v>
      </c>
    </row>
    <row r="65" spans="1:9" ht="15.75" x14ac:dyDescent="0.25">
      <c r="A65" s="1">
        <v>12</v>
      </c>
      <c r="B65" s="122">
        <v>5639813.5710000005</v>
      </c>
      <c r="C65" s="122">
        <v>422281.93699999998</v>
      </c>
      <c r="E65" s="118">
        <f t="shared" si="0"/>
        <v>50.904740248202309</v>
      </c>
      <c r="F65" s="118">
        <f t="shared" si="1"/>
        <v>-112.10532675996583</v>
      </c>
      <c r="H65" s="124" t="s">
        <v>87</v>
      </c>
      <c r="I65" s="12" t="s">
        <v>70</v>
      </c>
    </row>
    <row r="66" spans="1:9" ht="15.75" x14ac:dyDescent="0.25">
      <c r="A66" s="1">
        <v>12</v>
      </c>
      <c r="B66" s="122">
        <v>5638552.6830000002</v>
      </c>
      <c r="C66" s="122">
        <v>424293.94400000002</v>
      </c>
      <c r="E66" s="118">
        <f t="shared" si="0"/>
        <v>50.893670893870983</v>
      </c>
      <c r="F66" s="118">
        <f t="shared" si="1"/>
        <v>-112.07645549810076</v>
      </c>
      <c r="H66" s="124" t="s">
        <v>88</v>
      </c>
      <c r="I66" s="12" t="s">
        <v>70</v>
      </c>
    </row>
    <row r="67" spans="1:9" ht="15.75" x14ac:dyDescent="0.25">
      <c r="A67" s="1">
        <v>12</v>
      </c>
      <c r="B67" s="122">
        <v>5637786.6720000003</v>
      </c>
      <c r="C67" s="122">
        <v>425516.27399999998</v>
      </c>
      <c r="E67" s="118">
        <f t="shared" ref="E67:E88" si="2">latitude(A67,B67,C67)</f>
        <v>50.886942535511416</v>
      </c>
      <c r="F67" s="118">
        <f t="shared" ref="F67:F88" si="3">longitude(A67,B67,C67)</f>
        <v>-112.05892234517567</v>
      </c>
      <c r="H67" s="124" t="s">
        <v>89</v>
      </c>
      <c r="I67" s="12" t="s">
        <v>70</v>
      </c>
    </row>
    <row r="68" spans="1:9" ht="15.75" x14ac:dyDescent="0.25">
      <c r="A68" s="1">
        <v>12</v>
      </c>
      <c r="B68" s="122">
        <v>5636271.2000000002</v>
      </c>
      <c r="C68" s="122">
        <v>427932.98499999999</v>
      </c>
      <c r="E68" s="118">
        <f t="shared" si="2"/>
        <v>50.873623128538526</v>
      </c>
      <c r="F68" s="118">
        <f t="shared" si="3"/>
        <v>-112.02427154593137</v>
      </c>
      <c r="H68" s="124" t="s">
        <v>90</v>
      </c>
      <c r="I68" s="12" t="s">
        <v>70</v>
      </c>
    </row>
    <row r="69" spans="1:9" ht="15.75" x14ac:dyDescent="0.25">
      <c r="A69" s="1">
        <v>12</v>
      </c>
      <c r="B69" s="122">
        <v>5635637.8420000002</v>
      </c>
      <c r="C69" s="122">
        <v>429560.93199999997</v>
      </c>
      <c r="E69" s="118">
        <f t="shared" si="2"/>
        <v>50.868129121611098</v>
      </c>
      <c r="F69" s="118">
        <f t="shared" si="3"/>
        <v>-112.00101574404724</v>
      </c>
      <c r="H69" s="124" t="s">
        <v>91</v>
      </c>
      <c r="I69" s="12" t="s">
        <v>70</v>
      </c>
    </row>
    <row r="70" spans="1:9" ht="15.75" x14ac:dyDescent="0.25">
      <c r="A70" s="1">
        <v>12</v>
      </c>
      <c r="B70" s="122">
        <v>5634507.9189999998</v>
      </c>
      <c r="C70" s="122">
        <v>432475.49300000002</v>
      </c>
      <c r="E70" s="118">
        <f t="shared" si="2"/>
        <v>50.858317312527447</v>
      </c>
      <c r="F70" s="118">
        <f t="shared" si="3"/>
        <v>-111.95939446325903</v>
      </c>
      <c r="H70" s="124" t="s">
        <v>92</v>
      </c>
      <c r="I70" s="12" t="s">
        <v>70</v>
      </c>
    </row>
    <row r="71" spans="1:9" ht="15.75" x14ac:dyDescent="0.25">
      <c r="A71" s="1">
        <v>12</v>
      </c>
      <c r="B71" s="122">
        <v>5633651.2429999998</v>
      </c>
      <c r="C71" s="122">
        <v>434585.337</v>
      </c>
      <c r="E71" s="118">
        <f t="shared" si="2"/>
        <v>50.850857018998788</v>
      </c>
      <c r="F71" s="118">
        <f t="shared" si="3"/>
        <v>-111.92926879132349</v>
      </c>
      <c r="H71" s="124" t="s">
        <v>93</v>
      </c>
      <c r="I71" s="12" t="s">
        <v>68</v>
      </c>
    </row>
    <row r="72" spans="1:9" ht="15.75" x14ac:dyDescent="0.25">
      <c r="A72" s="1">
        <v>12</v>
      </c>
      <c r="B72" s="122">
        <v>5632867.3779999996</v>
      </c>
      <c r="C72" s="122">
        <v>436830.31900000002</v>
      </c>
      <c r="E72" s="118">
        <f t="shared" si="2"/>
        <v>50.84405835274751</v>
      </c>
      <c r="F72" s="118">
        <f t="shared" si="3"/>
        <v>-111.89724601863284</v>
      </c>
      <c r="H72" s="124" t="s">
        <v>94</v>
      </c>
      <c r="I72" s="12" t="s">
        <v>70</v>
      </c>
    </row>
    <row r="73" spans="1:9" ht="15.75" x14ac:dyDescent="0.25">
      <c r="A73" s="1">
        <v>12</v>
      </c>
      <c r="B73" s="122">
        <v>5631729.2319999998</v>
      </c>
      <c r="C73" s="122">
        <v>439331.73700000002</v>
      </c>
      <c r="E73" s="118">
        <f t="shared" si="2"/>
        <v>50.834092187642689</v>
      </c>
      <c r="F73" s="118">
        <f t="shared" si="3"/>
        <v>-111.86153242578078</v>
      </c>
      <c r="H73" s="124" t="s">
        <v>95</v>
      </c>
      <c r="I73" s="12" t="s">
        <v>70</v>
      </c>
    </row>
    <row r="74" spans="1:9" ht="15.75" x14ac:dyDescent="0.25">
      <c r="A74" s="1">
        <v>12</v>
      </c>
      <c r="B74" s="122">
        <v>5629968.0279999999</v>
      </c>
      <c r="C74" s="122">
        <v>442152.652</v>
      </c>
      <c r="E74" s="118">
        <f t="shared" si="2"/>
        <v>50.818544573313979</v>
      </c>
      <c r="F74" s="118">
        <f t="shared" si="3"/>
        <v>-111.82120004940397</v>
      </c>
      <c r="H74" s="124" t="s">
        <v>96</v>
      </c>
      <c r="I74" s="12" t="s">
        <v>70</v>
      </c>
    </row>
    <row r="75" spans="1:9" ht="15.75" x14ac:dyDescent="0.25">
      <c r="A75" s="1">
        <v>12</v>
      </c>
      <c r="B75" s="122">
        <v>5627799.1660000002</v>
      </c>
      <c r="C75" s="122">
        <v>444917.99300000002</v>
      </c>
      <c r="E75" s="118">
        <f t="shared" si="2"/>
        <v>50.799311929049431</v>
      </c>
      <c r="F75" s="118">
        <f t="shared" si="3"/>
        <v>-111.78162178914779</v>
      </c>
      <c r="H75" s="124" t="s">
        <v>97</v>
      </c>
      <c r="I75" s="12" t="s">
        <v>70</v>
      </c>
    </row>
    <row r="76" spans="1:9" ht="15.75" x14ac:dyDescent="0.25">
      <c r="A76" s="1">
        <v>12</v>
      </c>
      <c r="B76" s="122">
        <v>5626537.9409999996</v>
      </c>
      <c r="C76" s="122">
        <v>446508.16800000001</v>
      </c>
      <c r="E76" s="118">
        <f t="shared" si="2"/>
        <v>50.78811994517519</v>
      </c>
      <c r="F76" s="118">
        <f t="shared" si="3"/>
        <v>-111.75887544439172</v>
      </c>
      <c r="H76" s="124" t="s">
        <v>98</v>
      </c>
      <c r="I76" s="12" t="s">
        <v>70</v>
      </c>
    </row>
    <row r="77" spans="1:9" ht="15.75" x14ac:dyDescent="0.25">
      <c r="A77" s="1">
        <v>12</v>
      </c>
      <c r="B77" s="122">
        <v>5625371.5659999996</v>
      </c>
      <c r="C77" s="122">
        <v>448152.46899999998</v>
      </c>
      <c r="E77" s="118">
        <f t="shared" si="2"/>
        <v>50.777781202418666</v>
      </c>
      <c r="F77" s="118">
        <f t="shared" si="3"/>
        <v>-111.73538569782201</v>
      </c>
      <c r="H77" s="124" t="s">
        <v>99</v>
      </c>
      <c r="I77" s="12" t="s">
        <v>70</v>
      </c>
    </row>
    <row r="78" spans="1:9" ht="15.75" x14ac:dyDescent="0.25">
      <c r="A78" s="1">
        <v>12</v>
      </c>
      <c r="B78" s="122">
        <v>5622972.0190000003</v>
      </c>
      <c r="C78" s="122">
        <v>451345.489</v>
      </c>
      <c r="E78" s="118">
        <f t="shared" si="2"/>
        <v>50.756480691009052</v>
      </c>
      <c r="F78" s="118">
        <f t="shared" si="3"/>
        <v>-111.68978336715148</v>
      </c>
      <c r="H78" s="124" t="s">
        <v>100</v>
      </c>
      <c r="I78" s="12" t="s">
        <v>70</v>
      </c>
    </row>
    <row r="79" spans="1:9" ht="15.75" x14ac:dyDescent="0.25">
      <c r="A79" s="1">
        <v>12</v>
      </c>
      <c r="B79" s="122">
        <v>5621977.5710000005</v>
      </c>
      <c r="C79" s="122">
        <v>452988.266</v>
      </c>
      <c r="E79" s="118">
        <f t="shared" si="2"/>
        <v>50.74767375534487</v>
      </c>
      <c r="F79" s="118">
        <f t="shared" si="3"/>
        <v>-111.66636816865243</v>
      </c>
      <c r="H79" s="124" t="s">
        <v>101</v>
      </c>
      <c r="I79" s="12" t="s">
        <v>70</v>
      </c>
    </row>
    <row r="80" spans="1:9" ht="15.75" x14ac:dyDescent="0.25">
      <c r="A80" s="1">
        <v>12</v>
      </c>
      <c r="B80" s="122">
        <v>5620905.7410000004</v>
      </c>
      <c r="C80" s="122">
        <v>454585.62599999999</v>
      </c>
      <c r="E80" s="118">
        <f t="shared" si="2"/>
        <v>50.738162677544587</v>
      </c>
      <c r="F80" s="118">
        <f t="shared" si="3"/>
        <v>-111.64359579000018</v>
      </c>
      <c r="H80" s="124" t="s">
        <v>102</v>
      </c>
      <c r="I80" s="12" t="s">
        <v>70</v>
      </c>
    </row>
    <row r="81" spans="1:9" ht="15.75" x14ac:dyDescent="0.25">
      <c r="A81" s="1">
        <v>12</v>
      </c>
      <c r="B81" s="122">
        <v>5619713.1679999996</v>
      </c>
      <c r="C81" s="122">
        <v>456212.94199999998</v>
      </c>
      <c r="E81" s="118">
        <f t="shared" si="2"/>
        <v>50.727563595088817</v>
      </c>
      <c r="F81" s="118">
        <f t="shared" si="3"/>
        <v>-111.62039386081608</v>
      </c>
      <c r="H81" s="124" t="s">
        <v>103</v>
      </c>
      <c r="I81" s="12" t="s">
        <v>70</v>
      </c>
    </row>
    <row r="82" spans="1:9" ht="15.75" x14ac:dyDescent="0.25">
      <c r="A82" s="1">
        <v>12</v>
      </c>
      <c r="B82" s="122">
        <v>5618313.4460000005</v>
      </c>
      <c r="C82" s="122">
        <v>457827.49900000001</v>
      </c>
      <c r="E82" s="118">
        <f t="shared" si="2"/>
        <v>50.715096138157108</v>
      </c>
      <c r="F82" s="118">
        <f t="shared" si="3"/>
        <v>-111.59735942708124</v>
      </c>
      <c r="H82" s="124" t="s">
        <v>104</v>
      </c>
      <c r="I82" s="12" t="s">
        <v>70</v>
      </c>
    </row>
    <row r="83" spans="1:9" ht="15.75" x14ac:dyDescent="0.25">
      <c r="A83" s="1">
        <v>12</v>
      </c>
      <c r="B83" s="122">
        <v>5617343.2719999999</v>
      </c>
      <c r="C83" s="122">
        <v>459457.48200000002</v>
      </c>
      <c r="E83" s="118">
        <f t="shared" si="2"/>
        <v>50.706487853008831</v>
      </c>
      <c r="F83" s="118">
        <f t="shared" si="3"/>
        <v>-111.57416594146811</v>
      </c>
      <c r="H83" s="124" t="s">
        <v>105</v>
      </c>
      <c r="I83" s="12" t="s">
        <v>70</v>
      </c>
    </row>
    <row r="84" spans="1:9" ht="15.75" x14ac:dyDescent="0.25">
      <c r="A84" s="1">
        <v>12</v>
      </c>
      <c r="B84" s="122">
        <v>5616569.5449999999</v>
      </c>
      <c r="C84" s="122">
        <v>460764.27</v>
      </c>
      <c r="E84" s="118">
        <f t="shared" si="2"/>
        <v>50.699619755164711</v>
      </c>
      <c r="F84" s="118">
        <f t="shared" si="3"/>
        <v>-111.55557783907054</v>
      </c>
      <c r="H84" s="124" t="s">
        <v>106</v>
      </c>
      <c r="I84" s="12" t="s">
        <v>70</v>
      </c>
    </row>
    <row r="85" spans="1:9" ht="15.75" x14ac:dyDescent="0.25">
      <c r="A85" s="1">
        <v>12</v>
      </c>
      <c r="B85" s="122">
        <v>5616485.0120000001</v>
      </c>
      <c r="C85" s="122">
        <v>461952.68</v>
      </c>
      <c r="E85" s="118">
        <f t="shared" si="2"/>
        <v>50.698938564546225</v>
      </c>
      <c r="F85" s="118">
        <f t="shared" si="3"/>
        <v>-111.53874205290263</v>
      </c>
      <c r="H85" s="124" t="s">
        <v>107</v>
      </c>
      <c r="I85" s="12" t="s">
        <v>68</v>
      </c>
    </row>
    <row r="86" spans="1:9" ht="16.5" thickBot="1" x14ac:dyDescent="0.3">
      <c r="A86" s="1">
        <v>12</v>
      </c>
      <c r="B86" s="121">
        <v>5616474.5159999998</v>
      </c>
      <c r="C86" s="121">
        <v>461961.679</v>
      </c>
      <c r="E86" s="118">
        <f t="shared" si="2"/>
        <v>50.698844767306937</v>
      </c>
      <c r="F86" s="118">
        <f t="shared" si="3"/>
        <v>-111.53861355384493</v>
      </c>
      <c r="H86" s="123" t="s">
        <v>108</v>
      </c>
      <c r="I86" s="12" t="s">
        <v>109</v>
      </c>
    </row>
    <row r="87" spans="1:9" x14ac:dyDescent="0.2">
      <c r="A87" s="1">
        <v>12</v>
      </c>
      <c r="B87" s="38">
        <v>5552821.9500000002</v>
      </c>
      <c r="C87" s="38">
        <v>491470.67700000003</v>
      </c>
      <c r="E87" s="118">
        <f t="shared" si="2"/>
        <v>50.127574087285147</v>
      </c>
      <c r="F87" s="118">
        <f t="shared" si="3"/>
        <v>-111.11932921014962</v>
      </c>
    </row>
    <row r="88" spans="1:9" x14ac:dyDescent="0.2">
      <c r="A88" s="1">
        <v>12</v>
      </c>
      <c r="B88" s="38">
        <v>5550810.5199999996</v>
      </c>
      <c r="C88" s="38">
        <v>493095.69199999998</v>
      </c>
      <c r="E88" s="118">
        <f t="shared" si="2"/>
        <v>50.109504710901433</v>
      </c>
      <c r="F88" s="118">
        <f t="shared" si="3"/>
        <v>-111.09655813772804</v>
      </c>
    </row>
    <row r="89" spans="1:9" x14ac:dyDescent="0.2">
      <c r="A89" s="1">
        <v>12</v>
      </c>
      <c r="B89" s="38">
        <v>5548841.0999999996</v>
      </c>
      <c r="C89" s="38">
        <v>494393.37400000001</v>
      </c>
      <c r="E89" s="118">
        <f t="shared" ref="E89:E126" si="4">latitude(A89,B89,C89)</f>
        <v>50.091805640572254</v>
      </c>
      <c r="F89" s="118">
        <f t="shared" ref="F89:F126" si="5">longitude(A89,B89,C89)</f>
        <v>-111.07838090775265</v>
      </c>
    </row>
    <row r="90" spans="1:9" x14ac:dyDescent="0.2">
      <c r="A90" s="1">
        <v>12</v>
      </c>
      <c r="B90" s="38">
        <v>5546206.5300000003</v>
      </c>
      <c r="C90" s="38">
        <v>496357.10200000001</v>
      </c>
      <c r="E90" s="118">
        <f t="shared" si="4"/>
        <v>50.068125802189705</v>
      </c>
      <c r="F90" s="118">
        <f t="shared" si="5"/>
        <v>-111.0509028124244</v>
      </c>
    </row>
    <row r="91" spans="1:9" x14ac:dyDescent="0.2">
      <c r="A91" s="1">
        <v>12</v>
      </c>
      <c r="B91" s="38">
        <v>5544206.8700000001</v>
      </c>
      <c r="C91" s="38">
        <v>497987.57</v>
      </c>
      <c r="E91" s="118">
        <f t="shared" si="4"/>
        <v>50.05014869387464</v>
      </c>
      <c r="F91" s="118">
        <f t="shared" si="5"/>
        <v>-111.02810950898713</v>
      </c>
    </row>
    <row r="92" spans="1:9" x14ac:dyDescent="0.2">
      <c r="A92" s="1">
        <v>12</v>
      </c>
      <c r="B92" s="38">
        <v>5542270.75</v>
      </c>
      <c r="C92" s="38">
        <v>499380.57699999999</v>
      </c>
      <c r="E92" s="118">
        <f t="shared" si="4"/>
        <v>50.032738333295377</v>
      </c>
      <c r="F92" s="118">
        <f t="shared" si="5"/>
        <v>-111.00864893698396</v>
      </c>
    </row>
    <row r="93" spans="1:9" x14ac:dyDescent="0.2">
      <c r="A93" s="1">
        <v>12</v>
      </c>
      <c r="B93" s="38">
        <v>5539831.2699999996</v>
      </c>
      <c r="C93" s="38">
        <v>500403.70500000002</v>
      </c>
      <c r="E93" s="118">
        <f t="shared" si="4"/>
        <v>50.010797787711304</v>
      </c>
      <c r="F93" s="118">
        <f t="shared" si="5"/>
        <v>-110.99436567707176</v>
      </c>
    </row>
    <row r="94" spans="1:9" x14ac:dyDescent="0.2">
      <c r="A94" s="1">
        <v>12</v>
      </c>
      <c r="B94" s="38">
        <v>5537453.9400000004</v>
      </c>
      <c r="C94" s="38">
        <v>501958.09100000001</v>
      </c>
      <c r="E94" s="118">
        <f t="shared" si="4"/>
        <v>49.989412876056065</v>
      </c>
      <c r="F94" s="118">
        <f t="shared" si="5"/>
        <v>-110.9726839537726</v>
      </c>
    </row>
    <row r="95" spans="1:9" x14ac:dyDescent="0.2">
      <c r="A95" s="1">
        <v>12</v>
      </c>
      <c r="B95" s="38">
        <v>5535622.8600000003</v>
      </c>
      <c r="C95" s="38">
        <v>504483.66600000003</v>
      </c>
      <c r="E95" s="118">
        <f t="shared" si="4"/>
        <v>49.972930356565335</v>
      </c>
      <c r="F95" s="118">
        <f t="shared" si="5"/>
        <v>-110.93747267436717</v>
      </c>
    </row>
    <row r="96" spans="1:9" x14ac:dyDescent="0.2">
      <c r="A96" s="1">
        <v>12</v>
      </c>
      <c r="B96" s="38">
        <v>5533275.8600000003</v>
      </c>
      <c r="C96" s="38">
        <v>507744.984</v>
      </c>
      <c r="E96" s="118">
        <f t="shared" si="4"/>
        <v>49.951787785825069</v>
      </c>
      <c r="F96" s="118">
        <f t="shared" si="5"/>
        <v>-110.89203898683598</v>
      </c>
    </row>
    <row r="97" spans="1:6" x14ac:dyDescent="0.2">
      <c r="A97" s="1">
        <v>12</v>
      </c>
      <c r="B97" s="38">
        <v>5531024.4299999997</v>
      </c>
      <c r="C97" s="38">
        <v>510459.42700000003</v>
      </c>
      <c r="E97" s="118">
        <f t="shared" si="4"/>
        <v>49.931496778212257</v>
      </c>
      <c r="F97" s="118">
        <f t="shared" si="5"/>
        <v>-110.85426228769823</v>
      </c>
    </row>
    <row r="98" spans="1:6" x14ac:dyDescent="0.2">
      <c r="A98" s="1">
        <v>12</v>
      </c>
      <c r="B98" s="38">
        <v>5527799.4800000004</v>
      </c>
      <c r="C98" s="38">
        <v>512921.91700000002</v>
      </c>
      <c r="E98" s="118">
        <f t="shared" si="4"/>
        <v>49.902442943567586</v>
      </c>
      <c r="F98" s="118">
        <f t="shared" si="5"/>
        <v>-110.82005901636653</v>
      </c>
    </row>
    <row r="99" spans="1:6" x14ac:dyDescent="0.2">
      <c r="A99" s="1">
        <v>12</v>
      </c>
      <c r="B99" s="38">
        <v>5524560</v>
      </c>
      <c r="C99" s="38">
        <v>514990.61599999998</v>
      </c>
      <c r="E99" s="118">
        <f t="shared" si="4"/>
        <v>49.873258236765132</v>
      </c>
      <c r="F99" s="118">
        <f t="shared" si="5"/>
        <v>-110.79137766309609</v>
      </c>
    </row>
    <row r="100" spans="1:6" x14ac:dyDescent="0.2">
      <c r="A100" s="1">
        <v>12</v>
      </c>
      <c r="B100" s="38">
        <v>5521099.1600000001</v>
      </c>
      <c r="C100" s="38">
        <v>517029.86099999998</v>
      </c>
      <c r="E100" s="118">
        <f t="shared" si="4"/>
        <v>49.842076217128508</v>
      </c>
      <c r="F100" s="118">
        <f t="shared" si="5"/>
        <v>-110.76315021380765</v>
      </c>
    </row>
    <row r="101" spans="1:6" x14ac:dyDescent="0.2">
      <c r="A101" s="1">
        <v>12</v>
      </c>
      <c r="B101" s="38">
        <v>5520654.7800000003</v>
      </c>
      <c r="C101" s="38">
        <v>518012.42599999998</v>
      </c>
      <c r="E101" s="118">
        <f t="shared" si="4"/>
        <v>49.838050640991099</v>
      </c>
      <c r="F101" s="118">
        <f t="shared" si="5"/>
        <v>-110.74950557197832</v>
      </c>
    </row>
    <row r="102" spans="1:6" x14ac:dyDescent="0.2">
      <c r="A102" s="1">
        <v>12</v>
      </c>
      <c r="B102" s="38">
        <v>5518130.3399999999</v>
      </c>
      <c r="C102" s="38">
        <v>518918.56199999998</v>
      </c>
      <c r="E102" s="118">
        <f t="shared" si="4"/>
        <v>49.815317334198284</v>
      </c>
      <c r="F102" s="118">
        <f t="shared" si="5"/>
        <v>-110.73702741497259</v>
      </c>
    </row>
    <row r="103" spans="1:6" x14ac:dyDescent="0.2">
      <c r="A103" s="1">
        <v>11</v>
      </c>
      <c r="B103" s="38">
        <v>5515845.04</v>
      </c>
      <c r="C103" s="38">
        <v>519625.35100000002</v>
      </c>
      <c r="E103" s="118">
        <f t="shared" si="4"/>
        <v>49.794740054926152</v>
      </c>
      <c r="F103" s="118">
        <f t="shared" si="5"/>
        <v>-116.72731847237326</v>
      </c>
    </row>
    <row r="104" spans="1:6" x14ac:dyDescent="0.2">
      <c r="A104" s="1">
        <v>11</v>
      </c>
      <c r="B104" s="38">
        <v>5513021.4199999999</v>
      </c>
      <c r="C104" s="38">
        <v>520551.73</v>
      </c>
      <c r="E104" s="118">
        <f t="shared" si="4"/>
        <v>49.76931262081176</v>
      </c>
      <c r="F104" s="118">
        <f t="shared" si="5"/>
        <v>-116.71459642668744</v>
      </c>
    </row>
    <row r="105" spans="1:6" x14ac:dyDescent="0.2">
      <c r="A105" s="1">
        <v>11</v>
      </c>
      <c r="B105" s="38">
        <v>5512949.5999999996</v>
      </c>
      <c r="C105" s="38">
        <v>520573.88199999998</v>
      </c>
      <c r="E105" s="118">
        <f t="shared" si="4"/>
        <v>49.768665891934006</v>
      </c>
      <c r="F105" s="118">
        <f t="shared" si="5"/>
        <v>-116.71429260099252</v>
      </c>
    </row>
    <row r="106" spans="1:6" x14ac:dyDescent="0.2">
      <c r="A106" s="1">
        <v>11</v>
      </c>
      <c r="B106" s="38">
        <v>5510031.7400000002</v>
      </c>
      <c r="C106" s="38">
        <v>522137.85200000001</v>
      </c>
      <c r="E106" s="118">
        <f t="shared" si="4"/>
        <v>49.742366180798719</v>
      </c>
      <c r="F106" s="118">
        <f t="shared" si="5"/>
        <v>-116.69274008793306</v>
      </c>
    </row>
    <row r="107" spans="1:6" x14ac:dyDescent="0.2">
      <c r="A107" s="1">
        <v>11</v>
      </c>
      <c r="B107" s="38">
        <v>5508217.5700000003</v>
      </c>
      <c r="C107" s="38">
        <v>522902.35800000001</v>
      </c>
      <c r="E107" s="118">
        <f t="shared" si="4"/>
        <v>49.726020310543035</v>
      </c>
      <c r="F107" s="118">
        <f t="shared" si="5"/>
        <v>-116.6822359367233</v>
      </c>
    </row>
    <row r="108" spans="1:6" x14ac:dyDescent="0.2">
      <c r="A108" s="1">
        <v>11</v>
      </c>
      <c r="B108" s="38">
        <v>5505192.9000000004</v>
      </c>
      <c r="C108" s="38">
        <v>524125.93400000001</v>
      </c>
      <c r="E108" s="118">
        <f t="shared" si="4"/>
        <v>49.698767561901434</v>
      </c>
      <c r="F108" s="118">
        <f t="shared" si="5"/>
        <v>-116.66544636737952</v>
      </c>
    </row>
    <row r="109" spans="1:6" x14ac:dyDescent="0.2">
      <c r="A109" s="1">
        <v>11</v>
      </c>
      <c r="B109" s="38">
        <v>5502758</v>
      </c>
      <c r="C109" s="38">
        <v>525130.31499999994</v>
      </c>
      <c r="E109" s="118">
        <f t="shared" si="4"/>
        <v>49.676826093407783</v>
      </c>
      <c r="F109" s="118">
        <f t="shared" si="5"/>
        <v>-116.65167543425777</v>
      </c>
    </row>
    <row r="110" spans="1:6" x14ac:dyDescent="0.2">
      <c r="A110" s="1">
        <v>11</v>
      </c>
      <c r="B110" s="38">
        <v>5497996.3499999996</v>
      </c>
      <c r="C110" s="38">
        <v>527874.88600000006</v>
      </c>
      <c r="E110" s="118">
        <f t="shared" si="4"/>
        <v>49.633877304382366</v>
      </c>
      <c r="F110" s="118">
        <f t="shared" si="5"/>
        <v>-116.61397344597593</v>
      </c>
    </row>
    <row r="111" spans="1:6" x14ac:dyDescent="0.2">
      <c r="A111" s="1">
        <v>11</v>
      </c>
      <c r="B111" s="38">
        <v>5495363.5300000003</v>
      </c>
      <c r="C111" s="38">
        <v>529307.75800000003</v>
      </c>
      <c r="E111" s="118">
        <f t="shared" si="4"/>
        <v>49.61012876215937</v>
      </c>
      <c r="F111" s="118">
        <f t="shared" si="5"/>
        <v>-116.59432742467213</v>
      </c>
    </row>
    <row r="112" spans="1:6" x14ac:dyDescent="0.2">
      <c r="A112" s="1">
        <v>11</v>
      </c>
      <c r="B112" s="38">
        <v>5492204.9100000001</v>
      </c>
      <c r="C112" s="38">
        <v>531582.07499999995</v>
      </c>
      <c r="E112" s="118">
        <f t="shared" si="4"/>
        <v>49.58160420295556</v>
      </c>
      <c r="F112" s="118">
        <f t="shared" si="5"/>
        <v>-116.56310154739961</v>
      </c>
    </row>
    <row r="113" spans="1:6" x14ac:dyDescent="0.2">
      <c r="A113" s="1">
        <v>11</v>
      </c>
      <c r="B113" s="38">
        <v>5487414.9800000004</v>
      </c>
      <c r="C113" s="38">
        <v>533618.12399999995</v>
      </c>
      <c r="E113" s="118">
        <f t="shared" si="4"/>
        <v>49.538411702761856</v>
      </c>
      <c r="F113" s="118">
        <f t="shared" si="5"/>
        <v>-116.53534528916781</v>
      </c>
    </row>
    <row r="114" spans="1:6" x14ac:dyDescent="0.2">
      <c r="A114" s="1">
        <v>11</v>
      </c>
      <c r="B114" s="38">
        <v>5481927.29</v>
      </c>
      <c r="C114" s="38">
        <v>535469.06499999994</v>
      </c>
      <c r="E114" s="118">
        <f t="shared" si="4"/>
        <v>49.488947212788119</v>
      </c>
      <c r="F114" s="118">
        <f t="shared" si="5"/>
        <v>-116.51025645133262</v>
      </c>
    </row>
    <row r="115" spans="1:6" x14ac:dyDescent="0.2">
      <c r="A115" s="1">
        <v>11</v>
      </c>
      <c r="B115" s="38">
        <v>5479900.6699999999</v>
      </c>
      <c r="C115" s="38">
        <v>537892.93799999997</v>
      </c>
      <c r="E115" s="118">
        <f t="shared" si="4"/>
        <v>49.470572274726329</v>
      </c>
      <c r="F115" s="118">
        <f t="shared" si="5"/>
        <v>-116.47698411727623</v>
      </c>
    </row>
    <row r="116" spans="1:6" x14ac:dyDescent="0.2">
      <c r="A116" s="1">
        <v>11</v>
      </c>
      <c r="B116" s="38">
        <v>5472821.6200000001</v>
      </c>
      <c r="C116" s="38">
        <v>541985.73800000001</v>
      </c>
      <c r="E116" s="118">
        <f t="shared" si="4"/>
        <v>49.406630757294202</v>
      </c>
      <c r="F116" s="118">
        <f t="shared" si="5"/>
        <v>-116.42124607781059</v>
      </c>
    </row>
    <row r="117" spans="1:6" x14ac:dyDescent="0.2">
      <c r="A117" s="1">
        <v>11</v>
      </c>
      <c r="B117" s="38">
        <v>5466369.3700000001</v>
      </c>
      <c r="C117" s="38">
        <v>545588.04599999997</v>
      </c>
      <c r="E117" s="118">
        <f t="shared" si="4"/>
        <v>49.34833689931839</v>
      </c>
      <c r="F117" s="118">
        <f t="shared" si="5"/>
        <v>-116.37233246736368</v>
      </c>
    </row>
    <row r="118" spans="1:6" x14ac:dyDescent="0.2">
      <c r="A118" s="1">
        <v>11</v>
      </c>
      <c r="B118" s="38">
        <v>5463145.9000000004</v>
      </c>
      <c r="C118" s="38">
        <v>547120.77099999995</v>
      </c>
      <c r="E118" s="118">
        <f t="shared" si="4"/>
        <v>49.31922683255641</v>
      </c>
      <c r="F118" s="118">
        <f t="shared" si="5"/>
        <v>-116.35161187907579</v>
      </c>
    </row>
    <row r="119" spans="1:6" x14ac:dyDescent="0.2">
      <c r="A119" s="1">
        <v>11</v>
      </c>
      <c r="B119" s="38">
        <v>5459919.6200000001</v>
      </c>
      <c r="C119" s="38">
        <v>548487.96799999999</v>
      </c>
      <c r="E119" s="118">
        <f t="shared" si="4"/>
        <v>49.290100892864551</v>
      </c>
      <c r="F119" s="118">
        <f t="shared" si="5"/>
        <v>-116.3331920987997</v>
      </c>
    </row>
    <row r="120" spans="1:6" x14ac:dyDescent="0.2">
      <c r="A120" s="1">
        <v>11</v>
      </c>
      <c r="B120" s="38">
        <v>5457167.5199999996</v>
      </c>
      <c r="C120" s="38">
        <v>549455.96</v>
      </c>
      <c r="E120" s="118">
        <f t="shared" si="4"/>
        <v>49.265269419635722</v>
      </c>
      <c r="F120" s="118">
        <f t="shared" si="5"/>
        <v>-116.32022152263193</v>
      </c>
    </row>
    <row r="121" spans="1:6" x14ac:dyDescent="0.2">
      <c r="A121" s="1">
        <v>11</v>
      </c>
      <c r="B121" s="38">
        <v>5455042.0099999998</v>
      </c>
      <c r="C121" s="38">
        <v>550164.23699999996</v>
      </c>
      <c r="E121" s="118">
        <f t="shared" si="4"/>
        <v>49.246093697872709</v>
      </c>
      <c r="F121" s="118">
        <f t="shared" si="5"/>
        <v>-116.31075316163553</v>
      </c>
    </row>
    <row r="122" spans="1:6" x14ac:dyDescent="0.2">
      <c r="A122" s="1">
        <v>11</v>
      </c>
      <c r="B122" s="38">
        <v>5453256.4199999999</v>
      </c>
      <c r="C122" s="38">
        <v>550615.85600000003</v>
      </c>
      <c r="E122" s="118">
        <f t="shared" si="4"/>
        <v>49.229995879558786</v>
      </c>
      <c r="F122" s="118">
        <f t="shared" si="5"/>
        <v>-116.30477395562468</v>
      </c>
    </row>
    <row r="123" spans="1:6" x14ac:dyDescent="0.2">
      <c r="A123" s="1">
        <v>11</v>
      </c>
      <c r="B123" s="38">
        <v>5450113.5899999999</v>
      </c>
      <c r="C123" s="38">
        <v>551427.41200000001</v>
      </c>
      <c r="E123" s="118">
        <f t="shared" si="4"/>
        <v>49.201659777174235</v>
      </c>
      <c r="F123" s="118">
        <f t="shared" si="5"/>
        <v>-116.29403056292047</v>
      </c>
    </row>
    <row r="124" spans="1:6" x14ac:dyDescent="0.2">
      <c r="A124" s="1">
        <v>11</v>
      </c>
      <c r="B124" s="38">
        <v>5446996.2400000002</v>
      </c>
      <c r="C124" s="38">
        <v>551562.44900000002</v>
      </c>
      <c r="E124" s="118">
        <f t="shared" si="4"/>
        <v>49.173609004586865</v>
      </c>
      <c r="F124" s="118">
        <f t="shared" si="5"/>
        <v>-116.29257687459524</v>
      </c>
    </row>
    <row r="125" spans="1:6" x14ac:dyDescent="0.2">
      <c r="A125" s="1">
        <v>11</v>
      </c>
      <c r="B125" s="38">
        <v>5442153.8899999997</v>
      </c>
      <c r="C125" s="38">
        <v>552170.38500000001</v>
      </c>
      <c r="E125" s="118">
        <f t="shared" si="4"/>
        <v>49.130002240409794</v>
      </c>
      <c r="F125" s="118">
        <f t="shared" si="5"/>
        <v>-116.28486407005258</v>
      </c>
    </row>
    <row r="126" spans="1:6" x14ac:dyDescent="0.2">
      <c r="A126" s="1">
        <v>11</v>
      </c>
      <c r="B126" s="38">
        <v>5438862.8799999999</v>
      </c>
      <c r="C126" s="38">
        <v>552752.87399999995</v>
      </c>
      <c r="E126" s="118">
        <f t="shared" si="4"/>
        <v>49.100350799678793</v>
      </c>
      <c r="F126" s="118">
        <f t="shared" si="5"/>
        <v>-116.27731032576652</v>
      </c>
    </row>
  </sheetData>
  <phoneticPr fontId="10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V21"/>
  <sheetViews>
    <sheetView topLeftCell="A6" workbookViewId="0">
      <selection activeCell="E26" sqref="E26"/>
    </sheetView>
  </sheetViews>
  <sheetFormatPr defaultRowHeight="12.75" x14ac:dyDescent="0.2"/>
  <cols>
    <col min="1" max="1" width="9.7109375" style="8" customWidth="1"/>
    <col min="2" max="2" width="15.28515625" bestFit="1" customWidth="1"/>
    <col min="3" max="3" width="9.28515625" style="14" bestFit="1" customWidth="1"/>
    <col min="4" max="4" width="10.28515625" style="14" bestFit="1" customWidth="1"/>
    <col min="5" max="5" width="14.85546875" style="14" bestFit="1" customWidth="1"/>
    <col min="6" max="6" width="9.140625" style="8" customWidth="1"/>
    <col min="7" max="7" width="9.28515625" style="8" bestFit="1" customWidth="1"/>
    <col min="8" max="8" width="9.5703125" style="8" bestFit="1" customWidth="1"/>
    <col min="9" max="9" width="10.42578125" style="16" customWidth="1"/>
    <col min="10" max="10" width="12.42578125" style="16" customWidth="1"/>
    <col min="11" max="11" width="10.28515625" style="8" bestFit="1" customWidth="1"/>
    <col min="12" max="12" width="9.5703125" style="8" bestFit="1" customWidth="1"/>
    <col min="13" max="13" width="9.140625" style="8" customWidth="1"/>
    <col min="14" max="18" width="0" style="8" hidden="1" customWidth="1"/>
    <col min="19" max="19" width="0" style="16" hidden="1" customWidth="1"/>
    <col min="20" max="22" width="9.140625" style="8" customWidth="1"/>
  </cols>
  <sheetData>
    <row r="1" spans="1:19" x14ac:dyDescent="0.2">
      <c r="A1" s="17" t="s">
        <v>110</v>
      </c>
    </row>
    <row r="2" spans="1:19" x14ac:dyDescent="0.2">
      <c r="A2" s="17" t="s">
        <v>111</v>
      </c>
    </row>
    <row r="3" spans="1:19" x14ac:dyDescent="0.2">
      <c r="A3" s="17" t="s">
        <v>112</v>
      </c>
    </row>
    <row r="4" spans="1:19" x14ac:dyDescent="0.2">
      <c r="A4" s="17" t="s">
        <v>113</v>
      </c>
    </row>
    <row r="5" spans="1:19" x14ac:dyDescent="0.2">
      <c r="A5" s="17" t="s">
        <v>114</v>
      </c>
    </row>
    <row r="6" spans="1:19" x14ac:dyDescent="0.2">
      <c r="A6" s="17" t="s">
        <v>115</v>
      </c>
    </row>
    <row r="7" spans="1:19" ht="13.5" thickBot="1" x14ac:dyDescent="0.25"/>
    <row r="8" spans="1:19" ht="13.5" thickBot="1" x14ac:dyDescent="0.25">
      <c r="A8" s="140" t="s">
        <v>116</v>
      </c>
      <c r="B8" s="141"/>
      <c r="C8" s="141"/>
      <c r="D8" s="141"/>
      <c r="E8" s="141"/>
      <c r="F8" s="141"/>
      <c r="G8" s="141"/>
      <c r="H8" s="142"/>
      <c r="I8" s="140" t="s">
        <v>117</v>
      </c>
      <c r="J8" s="142"/>
      <c r="K8" s="143" t="s">
        <v>118</v>
      </c>
      <c r="L8" s="144"/>
      <c r="M8" s="145"/>
    </row>
    <row r="9" spans="1:19" ht="13.5" thickBot="1" x14ac:dyDescent="0.25">
      <c r="A9" s="140" t="s">
        <v>119</v>
      </c>
      <c r="B9" s="141"/>
      <c r="C9" s="141"/>
      <c r="D9" s="141"/>
      <c r="E9" s="142"/>
      <c r="F9" s="140" t="s">
        <v>120</v>
      </c>
      <c r="G9" s="141"/>
      <c r="H9" s="142"/>
      <c r="I9" s="149" t="s">
        <v>121</v>
      </c>
      <c r="J9" s="150"/>
      <c r="K9" s="146"/>
      <c r="L9" s="147"/>
      <c r="M9" s="148"/>
    </row>
    <row r="10" spans="1:19" s="7" customFormat="1" ht="13.5" thickBot="1" x14ac:dyDescent="0.25">
      <c r="A10" s="23" t="s">
        <v>122</v>
      </c>
      <c r="B10" s="24" t="s">
        <v>123</v>
      </c>
      <c r="C10" s="25" t="s">
        <v>2</v>
      </c>
      <c r="D10" s="25" t="s">
        <v>3</v>
      </c>
      <c r="E10" s="29"/>
      <c r="F10" s="23" t="s">
        <v>13</v>
      </c>
      <c r="G10" s="24" t="s">
        <v>17</v>
      </c>
      <c r="H10" s="26" t="s">
        <v>124</v>
      </c>
      <c r="I10" s="28" t="s">
        <v>2</v>
      </c>
      <c r="J10" s="25" t="s">
        <v>3</v>
      </c>
      <c r="K10" s="31" t="s">
        <v>125</v>
      </c>
      <c r="L10" s="32" t="s">
        <v>126</v>
      </c>
      <c r="M10" s="33" t="s">
        <v>127</v>
      </c>
      <c r="S10" s="15"/>
    </row>
    <row r="11" spans="1:19" x14ac:dyDescent="0.2">
      <c r="A11" s="8">
        <v>1</v>
      </c>
      <c r="B11" t="s">
        <v>128</v>
      </c>
      <c r="C11" s="14">
        <v>51.456383333333335</v>
      </c>
      <c r="D11" s="14">
        <v>-114.28751666666666</v>
      </c>
      <c r="E11" s="9">
        <v>35514.6</v>
      </c>
      <c r="F11" s="21">
        <v>11</v>
      </c>
      <c r="G11" s="22">
        <v>688444.88204018632</v>
      </c>
      <c r="H11" s="22">
        <v>5704068.4244887289</v>
      </c>
      <c r="I11" s="27">
        <v>51.456383340176458</v>
      </c>
      <c r="J11" s="27">
        <v>-114.28751666359429</v>
      </c>
      <c r="K11" s="35">
        <f>C11-I11</f>
        <v>-6.8431234012678033E-9</v>
      </c>
      <c r="L11" s="35">
        <f>D11-J11</f>
        <v>-3.072372578571958E-9</v>
      </c>
      <c r="M11" s="30">
        <f>R11*1.851995554*1000</f>
        <v>0</v>
      </c>
      <c r="N11" s="8">
        <f>C11*PI()/180</f>
        <v>0.89808331033500166</v>
      </c>
      <c r="O11" s="8">
        <f>D11*PI()/180</f>
        <v>-1.994693459761228</v>
      </c>
      <c r="P11" s="8">
        <f>I11*PI()/180</f>
        <v>0.89808331045443657</v>
      </c>
      <c r="Q11" s="8">
        <f>J11*PI()/180</f>
        <v>-1.9946934597076049</v>
      </c>
      <c r="R11" s="34">
        <f>(ACOS(SIN(N11)*SIN(P11)+COS(N11)*COS(P11)*COS(O11-Q11)))*180*60/PI()</f>
        <v>0</v>
      </c>
      <c r="S11" s="34">
        <f>R11*1.851995554*1000</f>
        <v>0</v>
      </c>
    </row>
    <row r="12" spans="1:19" x14ac:dyDescent="0.2">
      <c r="A12" s="8">
        <v>2</v>
      </c>
      <c r="B12" t="s">
        <v>128</v>
      </c>
      <c r="C12" s="14">
        <v>51.026176344172391</v>
      </c>
      <c r="D12" s="14">
        <v>-114.37583333333333</v>
      </c>
      <c r="E12" s="9">
        <v>35514.6</v>
      </c>
      <c r="F12" s="18">
        <v>11</v>
      </c>
      <c r="G12" s="18">
        <v>684018.48963651992</v>
      </c>
      <c r="H12" s="18">
        <v>5656012.992069344</v>
      </c>
      <c r="I12" s="19">
        <v>51.026176642239378</v>
      </c>
      <c r="J12" s="19">
        <v>-114.37585064064054</v>
      </c>
      <c r="K12" s="36">
        <f t="shared" ref="K12:K21" si="0">C12-I12</f>
        <v>-2.9806698620404859E-7</v>
      </c>
      <c r="L12" s="36">
        <f t="shared" ref="L12:L21" si="1">D12-J12</f>
        <v>1.7307307203395794E-5</v>
      </c>
      <c r="M12" s="20">
        <f t="shared" ref="M12:M21" si="2">R12*1.851995554*1000</f>
        <v>1.2075119634951994</v>
      </c>
      <c r="N12" s="8">
        <f t="shared" ref="N12:N21" si="3">C12*PI()/180</f>
        <v>0.89057478190905148</v>
      </c>
      <c r="O12" s="8">
        <f t="shared" ref="O12:O21" si="4">D12*PI()/180</f>
        <v>-1.9962348763789477</v>
      </c>
      <c r="P12" s="8">
        <f t="shared" ref="P12:P21" si="5">I12*PI()/180</f>
        <v>0.89057478711130189</v>
      </c>
      <c r="Q12" s="8">
        <f t="shared" ref="Q12:Q21" si="6">J12*PI()/180</f>
        <v>-1.9962351784484431</v>
      </c>
      <c r="R12" s="34">
        <f t="shared" ref="R12:R21" si="7">(ACOS(SIN(N12)*SIN(P12)+COS(N12)*COS(P12)*COS(O12-Q12)))*180*60/PI()</f>
        <v>6.5200586517995458E-4</v>
      </c>
      <c r="S12" s="34">
        <f t="shared" ref="S12:S21" si="8">R12*1.851995554*1000</f>
        <v>1.2075119634951994</v>
      </c>
    </row>
    <row r="13" spans="1:19" x14ac:dyDescent="0.2">
      <c r="A13" s="8">
        <v>3</v>
      </c>
      <c r="B13" t="s">
        <v>128</v>
      </c>
      <c r="C13" s="14">
        <v>51.307416666666668</v>
      </c>
      <c r="D13" s="14">
        <v>-114.41073333333334</v>
      </c>
      <c r="E13" s="9">
        <v>35514.6</v>
      </c>
      <c r="F13" s="18">
        <v>11</v>
      </c>
      <c r="G13" s="18">
        <v>680470.77905991115</v>
      </c>
      <c r="H13" s="18">
        <v>5687195.4664377486</v>
      </c>
      <c r="I13" s="19">
        <v>51.307416768789786</v>
      </c>
      <c r="J13" s="19">
        <v>-114.41073908271392</v>
      </c>
      <c r="K13" s="36">
        <f t="shared" si="0"/>
        <v>-1.0212311707391564E-7</v>
      </c>
      <c r="L13" s="36">
        <f t="shared" si="1"/>
        <v>5.7493805769581741E-6</v>
      </c>
      <c r="M13" s="20">
        <f t="shared" si="2"/>
        <v>0.39116356440000588</v>
      </c>
      <c r="N13" s="8">
        <f t="shared" si="3"/>
        <v>0.89548335152594738</v>
      </c>
      <c r="O13" s="8">
        <f t="shared" si="4"/>
        <v>-1.9968439962878939</v>
      </c>
      <c r="P13" s="8">
        <f t="shared" si="5"/>
        <v>0.89548335330833195</v>
      </c>
      <c r="Q13" s="8">
        <f t="shared" si="6"/>
        <v>-1.9968440966335148</v>
      </c>
      <c r="R13" s="34">
        <f t="shared" si="7"/>
        <v>2.1121193490727242E-4</v>
      </c>
      <c r="S13" s="34">
        <f t="shared" si="8"/>
        <v>0.39116356440000588</v>
      </c>
    </row>
    <row r="14" spans="1:19" x14ac:dyDescent="0.2">
      <c r="A14" s="8">
        <v>4</v>
      </c>
      <c r="B14" t="s">
        <v>128</v>
      </c>
      <c r="C14" s="14">
        <v>51.393549999999998</v>
      </c>
      <c r="D14" s="14">
        <v>-114.3768</v>
      </c>
      <c r="E14" s="9">
        <v>35514.6</v>
      </c>
      <c r="F14" s="18">
        <v>11</v>
      </c>
      <c r="G14" s="18">
        <v>682493.12492454925</v>
      </c>
      <c r="H14" s="18">
        <v>5696856.2110584155</v>
      </c>
      <c r="I14" s="19">
        <v>51.393550049143876</v>
      </c>
      <c r="J14" s="19">
        <v>-114.37680251926386</v>
      </c>
      <c r="K14" s="36">
        <f t="shared" si="0"/>
        <v>-4.9143878300128563E-8</v>
      </c>
      <c r="L14" s="36">
        <f t="shared" si="1"/>
        <v>2.519263858857812E-6</v>
      </c>
      <c r="M14" s="20">
        <f t="shared" si="2"/>
        <v>0.1897421996376385</v>
      </c>
      <c r="N14" s="8">
        <f t="shared" si="3"/>
        <v>0.89698666178833164</v>
      </c>
      <c r="O14" s="8">
        <f t="shared" si="4"/>
        <v>-1.9962517478950503</v>
      </c>
      <c r="P14" s="8">
        <f t="shared" si="5"/>
        <v>0.8969866626460542</v>
      </c>
      <c r="Q14" s="8">
        <f t="shared" si="6"/>
        <v>-1.9962517918644993</v>
      </c>
      <c r="R14" s="34">
        <f t="shared" si="7"/>
        <v>1.0245283755019127E-4</v>
      </c>
      <c r="S14" s="34">
        <f t="shared" si="8"/>
        <v>0.1897421996376385</v>
      </c>
    </row>
    <row r="15" spans="1:19" x14ac:dyDescent="0.2">
      <c r="A15" s="8">
        <v>5</v>
      </c>
      <c r="B15" t="s">
        <v>128</v>
      </c>
      <c r="C15" s="14">
        <v>51.344883333333335</v>
      </c>
      <c r="D15" s="14">
        <v>-114.39866666666667</v>
      </c>
      <c r="E15" s="9">
        <v>35514.6</v>
      </c>
      <c r="F15" s="18">
        <v>11</v>
      </c>
      <c r="G15" s="18">
        <v>681164.03371793777</v>
      </c>
      <c r="H15" s="18">
        <v>5691390.947807353</v>
      </c>
      <c r="I15" s="19">
        <v>51.344883412802744</v>
      </c>
      <c r="J15" s="19">
        <v>-114.39867102916722</v>
      </c>
      <c r="K15" s="36">
        <f t="shared" si="0"/>
        <v>-7.9469408831300825E-8</v>
      </c>
      <c r="L15" s="36">
        <f t="shared" si="1"/>
        <v>4.3625005474723366E-6</v>
      </c>
      <c r="M15" s="20">
        <f t="shared" si="2"/>
        <v>0.30000875894974893</v>
      </c>
      <c r="N15" s="8">
        <f t="shared" si="3"/>
        <v>0.89613726821902795</v>
      </c>
      <c r="O15" s="8">
        <f t="shared" si="4"/>
        <v>-1.9966333932248199</v>
      </c>
      <c r="P15" s="8">
        <f t="shared" si="5"/>
        <v>0.89613726960603068</v>
      </c>
      <c r="Q15" s="8">
        <f t="shared" si="6"/>
        <v>-1.9966334693648178</v>
      </c>
      <c r="R15" s="34">
        <f t="shared" si="7"/>
        <v>1.6199215937737018E-4</v>
      </c>
      <c r="S15" s="34">
        <f t="shared" si="8"/>
        <v>0.30000875894974893</v>
      </c>
    </row>
    <row r="16" spans="1:19" x14ac:dyDescent="0.2">
      <c r="A16" s="8">
        <v>6</v>
      </c>
      <c r="B16" t="s">
        <v>128</v>
      </c>
      <c r="C16" s="14">
        <v>51.284366666666664</v>
      </c>
      <c r="D16" s="14">
        <v>-114.44666666666667</v>
      </c>
      <c r="E16" s="9">
        <v>35514.6</v>
      </c>
      <c r="F16" s="18">
        <v>11</v>
      </c>
      <c r="G16" s="18">
        <v>678055.74319567275</v>
      </c>
      <c r="H16" s="18">
        <v>5684544.867944099</v>
      </c>
      <c r="I16" s="19">
        <v>51.28436677757626</v>
      </c>
      <c r="J16" s="19">
        <v>-114.44667303421181</v>
      </c>
      <c r="K16" s="36">
        <f t="shared" si="0"/>
        <v>-1.1090959617376939E-7</v>
      </c>
      <c r="L16" s="36">
        <f t="shared" si="1"/>
        <v>6.3675451400513339E-6</v>
      </c>
      <c r="M16" s="20">
        <f t="shared" si="2"/>
        <v>0.44498490127623541</v>
      </c>
      <c r="N16" s="8">
        <f t="shared" si="3"/>
        <v>0.8950810531333625</v>
      </c>
      <c r="O16" s="8">
        <f t="shared" si="4"/>
        <v>-1.9974711512657772</v>
      </c>
      <c r="P16" s="8">
        <f t="shared" si="5"/>
        <v>0.89508105506910007</v>
      </c>
      <c r="Q16" s="8">
        <f t="shared" si="6"/>
        <v>-1.9974712624004052</v>
      </c>
      <c r="R16" s="34">
        <f t="shared" si="7"/>
        <v>2.4027320169054542E-4</v>
      </c>
      <c r="S16" s="34">
        <f t="shared" si="8"/>
        <v>0.44498490127623541</v>
      </c>
    </row>
    <row r="17" spans="1:19" x14ac:dyDescent="0.2">
      <c r="A17" s="8">
        <v>7</v>
      </c>
      <c r="B17" t="s">
        <v>128</v>
      </c>
      <c r="C17" s="14">
        <v>51.27793333333333</v>
      </c>
      <c r="D17" s="14">
        <v>-114.4937</v>
      </c>
      <c r="E17" s="9">
        <v>35514.6</v>
      </c>
      <c r="F17" s="18">
        <v>11</v>
      </c>
      <c r="G17" s="18">
        <v>674800.77849412186</v>
      </c>
      <c r="H17" s="18">
        <v>5683716.5176938716</v>
      </c>
      <c r="I17" s="19">
        <v>51.277933440402613</v>
      </c>
      <c r="J17" s="19">
        <v>-114.49370624782813</v>
      </c>
      <c r="K17" s="36">
        <f t="shared" si="0"/>
        <v>-1.0706928321724263E-7</v>
      </c>
      <c r="L17" s="36">
        <f t="shared" si="1"/>
        <v>6.2478281250832879E-6</v>
      </c>
      <c r="M17" s="20">
        <f t="shared" si="2"/>
        <v>0.44498490127623541</v>
      </c>
      <c r="N17" s="8">
        <f t="shared" si="3"/>
        <v>0.89496877028481758</v>
      </c>
      <c r="O17" s="8">
        <f t="shared" si="4"/>
        <v>-1.9982920377906317</v>
      </c>
      <c r="P17" s="8">
        <f t="shared" si="5"/>
        <v>0.89496877215352899</v>
      </c>
      <c r="Q17" s="8">
        <f t="shared" si="6"/>
        <v>-1.9982921468358035</v>
      </c>
      <c r="R17" s="34">
        <f t="shared" si="7"/>
        <v>2.4027320169054542E-4</v>
      </c>
      <c r="S17" s="34">
        <f t="shared" si="8"/>
        <v>0.44498490127623541</v>
      </c>
    </row>
    <row r="18" spans="1:19" x14ac:dyDescent="0.2">
      <c r="A18" s="8">
        <v>8</v>
      </c>
      <c r="B18" t="s">
        <v>128</v>
      </c>
      <c r="C18" s="14">
        <v>51.41106666666667</v>
      </c>
      <c r="D18" s="14">
        <v>-114.36085</v>
      </c>
      <c r="E18" s="9">
        <v>35514.6</v>
      </c>
      <c r="F18" s="18">
        <v>11</v>
      </c>
      <c r="G18" s="18">
        <v>683532.46145262185</v>
      </c>
      <c r="H18" s="18">
        <v>5698843.6508028004</v>
      </c>
      <c r="I18" s="19">
        <v>51.411066704762014</v>
      </c>
      <c r="J18" s="19">
        <v>-114.3608518493853</v>
      </c>
      <c r="K18" s="36">
        <f t="shared" si="0"/>
        <v>-3.8095343768418388E-8</v>
      </c>
      <c r="L18" s="36">
        <f t="shared" si="1"/>
        <v>1.8493852991241511E-6</v>
      </c>
      <c r="M18" s="20">
        <f t="shared" si="2"/>
        <v>0.13416799515852793</v>
      </c>
      <c r="N18" s="8">
        <f t="shared" si="3"/>
        <v>0.89729238529563959</v>
      </c>
      <c r="O18" s="8">
        <f t="shared" si="4"/>
        <v>-1.995973367879357</v>
      </c>
      <c r="P18" s="8">
        <f t="shared" si="5"/>
        <v>0.89729238596052863</v>
      </c>
      <c r="Q18" s="8">
        <f t="shared" si="6"/>
        <v>-1.9959734001572198</v>
      </c>
      <c r="R18" s="34">
        <f t="shared" si="7"/>
        <v>7.2445095707032104E-5</v>
      </c>
      <c r="S18" s="34">
        <f t="shared" si="8"/>
        <v>0.13416799515852793</v>
      </c>
    </row>
    <row r="19" spans="1:19" x14ac:dyDescent="0.2">
      <c r="A19" s="8">
        <v>9</v>
      </c>
      <c r="B19" t="s">
        <v>128</v>
      </c>
      <c r="C19" s="14">
        <v>51.42861666666667</v>
      </c>
      <c r="D19" s="14">
        <v>-114.32895000000001</v>
      </c>
      <c r="E19" s="9">
        <v>35514.6</v>
      </c>
      <c r="F19" s="18">
        <v>11</v>
      </c>
      <c r="G19" s="18">
        <v>685679.39047365112</v>
      </c>
      <c r="H19" s="18">
        <v>5700875.3464806853</v>
      </c>
      <c r="I19" s="19">
        <v>51.428616693597519</v>
      </c>
      <c r="J19" s="19">
        <v>-114.32895117350624</v>
      </c>
      <c r="K19" s="36">
        <f t="shared" si="0"/>
        <v>-2.6930848662232165E-8</v>
      </c>
      <c r="L19" s="36">
        <f t="shared" si="1"/>
        <v>1.1735062344087055E-6</v>
      </c>
      <c r="M19" s="20">
        <f t="shared" si="2"/>
        <v>0.13416799515852793</v>
      </c>
      <c r="N19" s="8">
        <f t="shared" si="3"/>
        <v>0.89759869057936459</v>
      </c>
      <c r="O19" s="8">
        <f t="shared" si="4"/>
        <v>-1.9954166078479709</v>
      </c>
      <c r="P19" s="8">
        <f t="shared" si="5"/>
        <v>0.89759869104939649</v>
      </c>
      <c r="Q19" s="8">
        <f t="shared" si="6"/>
        <v>-1.9954166283295187</v>
      </c>
      <c r="R19" s="34">
        <f t="shared" si="7"/>
        <v>7.2445095707032104E-5</v>
      </c>
      <c r="S19" s="34">
        <f t="shared" si="8"/>
        <v>0.13416799515852793</v>
      </c>
    </row>
    <row r="20" spans="1:19" x14ac:dyDescent="0.2">
      <c r="A20" s="8">
        <v>10</v>
      </c>
      <c r="B20" t="s">
        <v>128</v>
      </c>
      <c r="C20" s="14">
        <v>51.443583333333336</v>
      </c>
      <c r="D20" s="14">
        <v>-114.30061666666667</v>
      </c>
      <c r="E20" s="9">
        <v>35514.6</v>
      </c>
      <c r="F20" s="18">
        <v>11</v>
      </c>
      <c r="G20" s="18">
        <v>687587.37114262953</v>
      </c>
      <c r="H20" s="18">
        <v>5702611.6208036626</v>
      </c>
      <c r="I20" s="19">
        <v>51.443583349833439</v>
      </c>
      <c r="J20" s="19">
        <v>-114.30061722333849</v>
      </c>
      <c r="K20" s="36">
        <f t="shared" si="0"/>
        <v>-1.6500102617555967E-8</v>
      </c>
      <c r="L20" s="36">
        <f t="shared" si="1"/>
        <v>5.566718215277433E-7</v>
      </c>
      <c r="M20" s="20">
        <f t="shared" si="2"/>
        <v>0</v>
      </c>
      <c r="N20" s="8">
        <f t="shared" si="3"/>
        <v>0.89785990819074624</v>
      </c>
      <c r="O20" s="8">
        <f t="shared" si="4"/>
        <v>-1.9949220978932394</v>
      </c>
      <c r="P20" s="8">
        <f t="shared" si="5"/>
        <v>0.89785990847872732</v>
      </c>
      <c r="Q20" s="8">
        <f t="shared" si="6"/>
        <v>-1.9949221076089954</v>
      </c>
      <c r="R20" s="34">
        <f t="shared" si="7"/>
        <v>0</v>
      </c>
      <c r="S20" s="34">
        <f t="shared" si="8"/>
        <v>0</v>
      </c>
    </row>
    <row r="21" spans="1:19" x14ac:dyDescent="0.2">
      <c r="A21" s="8">
        <v>11</v>
      </c>
      <c r="B21" t="s">
        <v>128</v>
      </c>
      <c r="C21" s="14">
        <v>51.284700000000001</v>
      </c>
      <c r="D21" s="14">
        <v>-114.46991666666666</v>
      </c>
      <c r="E21" s="9">
        <v>35514.6</v>
      </c>
      <c r="F21" s="18">
        <v>11</v>
      </c>
      <c r="G21" s="18">
        <v>676433.3741523939</v>
      </c>
      <c r="H21" s="18">
        <v>5684525.7813599817</v>
      </c>
      <c r="I21" s="19">
        <v>51.28470010697518</v>
      </c>
      <c r="J21" s="19">
        <v>-114.46992284996155</v>
      </c>
      <c r="K21" s="36">
        <f t="shared" si="0"/>
        <v>-1.0697517893731856E-7</v>
      </c>
      <c r="L21" s="36">
        <f t="shared" si="1"/>
        <v>6.1832948858864256E-6</v>
      </c>
      <c r="M21" s="20">
        <f t="shared" si="2"/>
        <v>0.44498490127623541</v>
      </c>
      <c r="N21" s="8">
        <f t="shared" si="3"/>
        <v>0.89508687089753591</v>
      </c>
      <c r="O21" s="8">
        <f t="shared" si="4"/>
        <v>-1.9978769403168655</v>
      </c>
      <c r="P21" s="8">
        <f t="shared" si="5"/>
        <v>0.89508687276460508</v>
      </c>
      <c r="Q21" s="8">
        <f t="shared" si="6"/>
        <v>-1.99787704823572</v>
      </c>
      <c r="R21" s="34">
        <f t="shared" si="7"/>
        <v>2.4027320169054542E-4</v>
      </c>
      <c r="S21" s="34">
        <f t="shared" si="8"/>
        <v>0.44498490127623541</v>
      </c>
    </row>
  </sheetData>
  <mergeCells count="6">
    <mergeCell ref="A8:H8"/>
    <mergeCell ref="I8:J8"/>
    <mergeCell ref="A9:E9"/>
    <mergeCell ref="K8:M9"/>
    <mergeCell ref="F9:H9"/>
    <mergeCell ref="I9:J9"/>
  </mergeCells>
  <phoneticPr fontId="10" type="noConversion"/>
  <conditionalFormatting sqref="S11:S21">
    <cfRule type="cellIs" dxfId="1" priority="1" stopIfTrue="1" operator="lessThan">
      <formula>50</formula>
    </cfRule>
  </conditionalFormatting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28"/>
  <sheetViews>
    <sheetView workbookViewId="0">
      <selection activeCell="I4" sqref="I4"/>
    </sheetView>
  </sheetViews>
  <sheetFormatPr defaultRowHeight="12.75" x14ac:dyDescent="0.2"/>
  <cols>
    <col min="7" max="7" width="14.42578125" customWidth="1"/>
    <col min="8" max="8" width="14.28515625" bestFit="1" customWidth="1"/>
    <col min="9" max="10" width="14.7109375" bestFit="1" customWidth="1"/>
  </cols>
  <sheetData>
    <row r="1" spans="1:10" x14ac:dyDescent="0.2">
      <c r="A1" s="151" t="s">
        <v>2</v>
      </c>
      <c r="B1" s="151"/>
      <c r="C1" s="151"/>
      <c r="D1" s="151" t="s">
        <v>3</v>
      </c>
      <c r="E1" s="151"/>
      <c r="F1" s="151"/>
      <c r="G1" s="108"/>
      <c r="H1" s="108"/>
    </row>
    <row r="2" spans="1:10" x14ac:dyDescent="0.2">
      <c r="A2" s="107" t="s">
        <v>129</v>
      </c>
      <c r="B2" s="107" t="s">
        <v>130</v>
      </c>
      <c r="C2" s="107" t="s">
        <v>131</v>
      </c>
      <c r="D2" s="109" t="s">
        <v>129</v>
      </c>
      <c r="E2" s="109" t="s">
        <v>130</v>
      </c>
      <c r="F2" s="109" t="s">
        <v>131</v>
      </c>
      <c r="G2" s="107" t="s">
        <v>132</v>
      </c>
      <c r="H2" s="109" t="s">
        <v>133</v>
      </c>
      <c r="I2" s="113" t="s">
        <v>134</v>
      </c>
    </row>
    <row r="3" spans="1:10" x14ac:dyDescent="0.2">
      <c r="A3" s="18">
        <v>29</v>
      </c>
      <c r="B3" s="18">
        <v>34.118099999999998</v>
      </c>
      <c r="C3" s="18">
        <v>0</v>
      </c>
      <c r="D3" s="110">
        <v>95</v>
      </c>
      <c r="E3" s="110">
        <v>36.646999999999998</v>
      </c>
      <c r="F3" s="110">
        <v>0</v>
      </c>
      <c r="G3" s="111">
        <f>A3+B3/60+C3/3600</f>
        <v>29.568635</v>
      </c>
      <c r="H3" s="112">
        <f>IF(D3&gt;0,D3+E3/60+F3/3600,(ABS(D3)+E3/60+F3/3600)*-1)</f>
        <v>95.61078333333333</v>
      </c>
      <c r="I3" s="114">
        <v>329.53</v>
      </c>
      <c r="J3" t="s">
        <v>135</v>
      </c>
    </row>
    <row r="4" spans="1:10" x14ac:dyDescent="0.2">
      <c r="A4" s="18">
        <v>34</v>
      </c>
      <c r="B4" s="18">
        <v>59</v>
      </c>
      <c r="C4" s="18">
        <v>36.663620000000002</v>
      </c>
      <c r="D4" s="110">
        <v>89</v>
      </c>
      <c r="E4" s="110">
        <v>52</v>
      </c>
      <c r="F4" s="110">
        <v>13.82342</v>
      </c>
      <c r="G4" s="111">
        <f>A4+B4/60+C4/3600</f>
        <v>34.993517672222225</v>
      </c>
      <c r="H4" s="112">
        <f>IF(D4&gt;0,D4+E4/60+F4/3600,(ABS(D4)+E4/60+F4/3600)*-1)</f>
        <v>89.870506505555554</v>
      </c>
      <c r="I4" s="114">
        <v>330.08</v>
      </c>
      <c r="J4" t="s">
        <v>136</v>
      </c>
    </row>
    <row r="5" spans="1:10" x14ac:dyDescent="0.2">
      <c r="A5" s="70"/>
      <c r="B5" s="70"/>
      <c r="C5" s="70"/>
      <c r="D5" s="70"/>
      <c r="E5" s="70"/>
      <c r="F5" s="70"/>
      <c r="G5" s="70"/>
      <c r="H5" s="70"/>
    </row>
    <row r="6" spans="1:10" x14ac:dyDescent="0.2">
      <c r="A6" s="70"/>
      <c r="B6" s="70"/>
      <c r="C6" s="70"/>
      <c r="D6" s="70"/>
      <c r="E6" s="70"/>
      <c r="F6" s="70"/>
      <c r="G6" s="70"/>
      <c r="H6" s="70"/>
    </row>
    <row r="7" spans="1:10" x14ac:dyDescent="0.2">
      <c r="A7" s="70"/>
      <c r="B7" s="70"/>
      <c r="C7" s="70"/>
      <c r="D7" s="70"/>
      <c r="E7" s="70"/>
      <c r="F7" s="70"/>
      <c r="G7" s="70"/>
      <c r="H7" s="70"/>
    </row>
    <row r="8" spans="1:10" x14ac:dyDescent="0.2">
      <c r="A8" s="70"/>
      <c r="B8" s="70"/>
      <c r="C8" s="70"/>
      <c r="D8" s="70"/>
      <c r="E8" s="70"/>
      <c r="F8" s="70"/>
      <c r="G8" s="70"/>
      <c r="H8" s="70"/>
    </row>
    <row r="9" spans="1:10" x14ac:dyDescent="0.2">
      <c r="A9" s="70"/>
      <c r="B9" s="70"/>
      <c r="C9" s="70"/>
      <c r="D9" s="70"/>
      <c r="E9" s="70"/>
      <c r="F9" s="70"/>
      <c r="G9" s="70"/>
      <c r="H9" s="70"/>
    </row>
    <row r="10" spans="1:10" x14ac:dyDescent="0.2">
      <c r="A10" s="70"/>
      <c r="B10" s="70"/>
      <c r="C10" s="70"/>
      <c r="D10" s="70"/>
      <c r="E10" s="70"/>
      <c r="F10" s="70"/>
      <c r="G10" s="70"/>
      <c r="H10" s="70"/>
    </row>
    <row r="11" spans="1:10" x14ac:dyDescent="0.2">
      <c r="A11" s="70"/>
      <c r="B11" s="70"/>
      <c r="C11" s="70"/>
      <c r="D11" s="70"/>
      <c r="E11" s="70"/>
      <c r="F11" s="70"/>
      <c r="G11" s="70"/>
      <c r="H11" s="70"/>
    </row>
    <row r="12" spans="1:10" x14ac:dyDescent="0.2">
      <c r="A12" s="70"/>
      <c r="B12" s="70"/>
      <c r="C12" s="70"/>
      <c r="D12" s="70"/>
      <c r="E12" s="70"/>
      <c r="F12" s="70"/>
      <c r="G12" s="70"/>
      <c r="H12" s="70"/>
    </row>
    <row r="13" spans="1:10" x14ac:dyDescent="0.2">
      <c r="A13" s="70"/>
      <c r="B13" s="70"/>
      <c r="C13" s="70"/>
      <c r="D13" s="70"/>
      <c r="E13" s="70"/>
      <c r="F13" s="70"/>
      <c r="G13" s="70"/>
      <c r="H13" s="70"/>
    </row>
    <row r="14" spans="1:10" x14ac:dyDescent="0.2">
      <c r="A14" s="70"/>
      <c r="B14" s="70"/>
      <c r="C14" s="70"/>
      <c r="D14" s="70"/>
      <c r="E14" s="70"/>
      <c r="F14" s="70"/>
      <c r="G14" s="70"/>
      <c r="H14" s="70"/>
    </row>
    <row r="15" spans="1:10" x14ac:dyDescent="0.2">
      <c r="A15" s="70"/>
      <c r="B15" s="70"/>
      <c r="C15" s="70"/>
      <c r="D15" s="70"/>
      <c r="E15" s="70"/>
      <c r="F15" s="70"/>
      <c r="G15" s="70"/>
      <c r="H15" s="70"/>
    </row>
    <row r="16" spans="1:10" x14ac:dyDescent="0.2">
      <c r="A16" s="70"/>
      <c r="B16" s="70"/>
      <c r="C16" s="70"/>
      <c r="D16" s="70"/>
      <c r="E16" s="70"/>
      <c r="F16" s="70"/>
      <c r="G16" s="70"/>
      <c r="H16" s="70"/>
    </row>
    <row r="17" spans="1:8" x14ac:dyDescent="0.2">
      <c r="A17" s="70"/>
      <c r="B17" s="70"/>
      <c r="C17" s="70"/>
      <c r="D17" s="70"/>
      <c r="E17" s="70"/>
      <c r="F17" s="70"/>
      <c r="G17" s="70"/>
      <c r="H17" s="70"/>
    </row>
    <row r="18" spans="1:8" x14ac:dyDescent="0.2">
      <c r="A18" s="70"/>
      <c r="B18" s="70"/>
      <c r="C18" s="70"/>
      <c r="D18" s="70"/>
      <c r="E18" s="70"/>
      <c r="F18" s="70"/>
      <c r="G18" s="70"/>
      <c r="H18" s="70"/>
    </row>
    <row r="19" spans="1:8" x14ac:dyDescent="0.2">
      <c r="A19" s="70"/>
      <c r="B19" s="70"/>
      <c r="C19" s="70"/>
      <c r="D19" s="70"/>
      <c r="E19" s="70"/>
      <c r="F19" s="70"/>
      <c r="G19" s="70"/>
      <c r="H19" s="70"/>
    </row>
    <row r="20" spans="1:8" x14ac:dyDescent="0.2">
      <c r="A20" s="70"/>
      <c r="B20" s="70"/>
      <c r="C20" s="70"/>
      <c r="D20" s="70"/>
      <c r="E20" s="70"/>
      <c r="F20" s="70"/>
      <c r="G20" s="70"/>
      <c r="H20" s="70"/>
    </row>
    <row r="21" spans="1:8" x14ac:dyDescent="0.2">
      <c r="A21" s="70"/>
      <c r="B21" s="70"/>
      <c r="C21" s="70"/>
      <c r="D21" s="70"/>
      <c r="E21" s="70"/>
      <c r="F21" s="70"/>
      <c r="G21" s="70"/>
      <c r="H21" s="70"/>
    </row>
    <row r="22" spans="1:8" x14ac:dyDescent="0.2">
      <c r="A22" s="70"/>
      <c r="B22" s="70"/>
      <c r="C22" s="70"/>
      <c r="D22" s="70"/>
      <c r="E22" s="70"/>
      <c r="F22" s="70"/>
      <c r="G22" s="70"/>
      <c r="H22" s="70"/>
    </row>
    <row r="23" spans="1:8" x14ac:dyDescent="0.2">
      <c r="A23" s="70"/>
      <c r="B23" s="70"/>
      <c r="C23" s="70"/>
      <c r="D23" s="70"/>
      <c r="E23" s="70"/>
      <c r="F23" s="70"/>
      <c r="G23" s="70"/>
      <c r="H23" s="70"/>
    </row>
    <row r="24" spans="1:8" x14ac:dyDescent="0.2">
      <c r="A24" s="70"/>
      <c r="B24" s="70"/>
      <c r="C24" s="70"/>
      <c r="D24" s="70"/>
      <c r="E24" s="70"/>
      <c r="F24" s="70"/>
      <c r="G24" s="70"/>
      <c r="H24" s="70"/>
    </row>
    <row r="25" spans="1:8" x14ac:dyDescent="0.2">
      <c r="A25" s="70"/>
      <c r="B25" s="70"/>
      <c r="C25" s="70"/>
      <c r="D25" s="70"/>
      <c r="E25" s="70"/>
      <c r="F25" s="70"/>
      <c r="G25" s="70"/>
      <c r="H25" s="70"/>
    </row>
    <row r="26" spans="1:8" x14ac:dyDescent="0.2">
      <c r="A26" s="70"/>
      <c r="B26" s="70"/>
      <c r="C26" s="70"/>
      <c r="D26" s="70"/>
      <c r="E26" s="70"/>
      <c r="F26" s="70"/>
      <c r="G26" s="70"/>
      <c r="H26" s="70"/>
    </row>
    <row r="27" spans="1:8" x14ac:dyDescent="0.2">
      <c r="A27" s="70"/>
      <c r="B27" s="70"/>
      <c r="C27" s="70"/>
      <c r="D27" s="70"/>
      <c r="E27" s="70"/>
      <c r="F27" s="70"/>
      <c r="G27" s="70"/>
      <c r="H27" s="70"/>
    </row>
    <row r="28" spans="1:8" x14ac:dyDescent="0.2">
      <c r="A28" s="70"/>
      <c r="B28" s="70"/>
      <c r="C28" s="70"/>
      <c r="D28" s="70"/>
      <c r="E28" s="70"/>
      <c r="F28" s="70"/>
      <c r="G28" s="70"/>
      <c r="H28" s="70"/>
    </row>
  </sheetData>
  <mergeCells count="2">
    <mergeCell ref="D1:F1"/>
    <mergeCell ref="A1:C1"/>
  </mergeCells>
  <phoneticPr fontId="10" type="noConversion"/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T23"/>
  <sheetViews>
    <sheetView tabSelected="1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Q22" sqref="Q22"/>
    </sheetView>
  </sheetViews>
  <sheetFormatPr defaultColWidth="9.140625" defaultRowHeight="12.75" x14ac:dyDescent="0.2"/>
  <cols>
    <col min="1" max="1" width="14.140625" style="50" customWidth="1"/>
    <col min="2" max="2" width="9.5703125" style="48" bestFit="1" customWidth="1"/>
    <col min="3" max="3" width="11.42578125" style="48" customWidth="1"/>
    <col min="4" max="4" width="3.42578125" style="48" customWidth="1"/>
    <col min="5" max="5" width="2.85546875" style="48" customWidth="1"/>
    <col min="6" max="11" width="9.140625" style="50"/>
    <col min="12" max="12" width="5.42578125" style="50" bestFit="1" customWidth="1"/>
    <col min="13" max="13" width="10.5703125" style="51" bestFit="1" customWidth="1"/>
    <col min="14" max="14" width="9.5703125" style="51" bestFit="1" customWidth="1"/>
    <col min="15" max="16" width="0" style="50" hidden="1" customWidth="1"/>
    <col min="17" max="17" width="11.5703125" style="50" bestFit="1" customWidth="1"/>
    <col min="18" max="18" width="12.28515625" style="50" bestFit="1" customWidth="1"/>
    <col min="19" max="19" width="2.7109375" style="50" customWidth="1"/>
    <col min="20" max="16384" width="9.140625" style="50"/>
  </cols>
  <sheetData>
    <row r="1" spans="1:20" x14ac:dyDescent="0.2">
      <c r="A1" s="47" t="s">
        <v>137</v>
      </c>
      <c r="F1" s="152" t="s">
        <v>138</v>
      </c>
      <c r="G1" s="152"/>
      <c r="H1" s="49" t="s">
        <v>139</v>
      </c>
    </row>
    <row r="2" spans="1:20" x14ac:dyDescent="0.2">
      <c r="A2" s="47" t="s">
        <v>140</v>
      </c>
      <c r="B2" s="52" t="s">
        <v>125</v>
      </c>
      <c r="C2" s="52" t="s">
        <v>141</v>
      </c>
      <c r="D2" s="52"/>
      <c r="E2" s="52"/>
      <c r="F2" s="49" t="s">
        <v>17</v>
      </c>
      <c r="G2" s="49" t="s">
        <v>124</v>
      </c>
      <c r="H2" s="49" t="s">
        <v>142</v>
      </c>
      <c r="I2" s="49" t="s">
        <v>143</v>
      </c>
      <c r="J2" s="49" t="s">
        <v>17</v>
      </c>
      <c r="K2" s="49" t="s">
        <v>124</v>
      </c>
      <c r="L2" s="49" t="s">
        <v>13</v>
      </c>
      <c r="M2" s="49" t="s">
        <v>15</v>
      </c>
      <c r="N2" s="49" t="s">
        <v>16</v>
      </c>
      <c r="O2" s="53">
        <f>gcdist(B3,C3,B4,C4)</f>
        <v>8.2526950776993466</v>
      </c>
    </row>
    <row r="3" spans="1:20" x14ac:dyDescent="0.2">
      <c r="A3" s="54" t="s">
        <v>144</v>
      </c>
      <c r="B3" s="55">
        <v>28.942352254999999</v>
      </c>
      <c r="C3" s="55">
        <v>47.899620421000002</v>
      </c>
      <c r="L3" s="56">
        <f>utmzone_long(C3)</f>
        <v>38</v>
      </c>
      <c r="M3" s="51">
        <f>northing($B$3,$C$3)</f>
        <v>3205061.7296567615</v>
      </c>
      <c r="N3" s="51">
        <f>easting($B$3,$C$3)</f>
        <v>782643.99260546418</v>
      </c>
      <c r="O3" s="57" t="str">
        <f>IF(B4&lt;B3,"south","north")</f>
        <v>north</v>
      </c>
      <c r="P3" s="58" t="str">
        <f>IF(C4&lt;C3,"west","east")</f>
        <v>west</v>
      </c>
    </row>
    <row r="4" spans="1:20" x14ac:dyDescent="0.2">
      <c r="A4" s="116" t="s">
        <v>145</v>
      </c>
      <c r="B4" s="55">
        <v>28.942426419</v>
      </c>
      <c r="C4" s="55">
        <v>47.899615963000002</v>
      </c>
      <c r="F4" s="50">
        <f>N4-N3</f>
        <v>-0.63629116676747799</v>
      </c>
      <c r="G4" s="50">
        <f>M4-M3</f>
        <v>8.2116435542702675</v>
      </c>
      <c r="H4" s="50">
        <f>SQRT(F$4^2+G$4^2)</f>
        <v>8.2362586355271006</v>
      </c>
      <c r="I4" s="50">
        <f>ABS(ATAN(G$4/F$4))</f>
        <v>1.4934643934412253</v>
      </c>
      <c r="J4" s="50">
        <f>COS(I$4)*O$2</f>
        <v>0.63756096212360824</v>
      </c>
      <c r="K4" s="50">
        <f>SIN(I$4)*O$2</f>
        <v>8.2280308740949106</v>
      </c>
      <c r="L4" s="56">
        <f>utmzone_long(C4)</f>
        <v>38</v>
      </c>
      <c r="M4" s="51">
        <f>northing(B$4,C$4)</f>
        <v>3205069.9413003158</v>
      </c>
      <c r="N4" s="51">
        <f>easting($B$4,$C$4)</f>
        <v>782643.35631429742</v>
      </c>
    </row>
    <row r="5" spans="1:20" x14ac:dyDescent="0.2">
      <c r="A5" s="47" t="str">
        <f>"Point " &amp; A4 &amp; " is " &amp; TEXT(gcdist(B3,C3,B4,C4),"0.00") &amp; "m " &amp; O3 &amp; P3 &amp; " of Point " &amp; A3 &amp; "."</f>
        <v>Point Riser is 8.25m northwest of Point Trap.</v>
      </c>
      <c r="M5" s="50"/>
      <c r="N5" s="50"/>
    </row>
    <row r="6" spans="1:20" x14ac:dyDescent="0.2">
      <c r="M6" s="50"/>
      <c r="N6" s="50"/>
    </row>
    <row r="7" spans="1:20" ht="38.25" x14ac:dyDescent="0.2">
      <c r="B7" s="59" t="str">
        <f>"Distance from " &amp; A3</f>
        <v>Distance from Trap</v>
      </c>
      <c r="E7" s="59"/>
      <c r="L7" s="75" t="s">
        <v>13</v>
      </c>
      <c r="M7" s="153" t="s">
        <v>146</v>
      </c>
      <c r="N7" s="153"/>
      <c r="O7" s="76"/>
      <c r="P7" s="76"/>
      <c r="Q7" s="75" t="s">
        <v>147</v>
      </c>
      <c r="R7" s="75" t="s">
        <v>148</v>
      </c>
      <c r="T7" s="49" t="str">
        <f>"of " &amp; A3</f>
        <v>of Trap</v>
      </c>
    </row>
    <row r="8" spans="1:20" x14ac:dyDescent="0.2">
      <c r="A8" s="54" t="s">
        <v>149</v>
      </c>
      <c r="B8" s="60">
        <v>4</v>
      </c>
      <c r="E8" s="61"/>
      <c r="F8" s="62">
        <f>N$4-N$3</f>
        <v>-0.63629116676747799</v>
      </c>
      <c r="G8" s="62">
        <f>M$4-M$3</f>
        <v>8.2116435542702675</v>
      </c>
      <c r="H8" s="62">
        <f>SQRT(F$4^2+G$4^2)</f>
        <v>8.2362586355271006</v>
      </c>
      <c r="I8" s="62">
        <f>ABS(ATAN(G$4/F$4))</f>
        <v>1.4934643934412253</v>
      </c>
      <c r="J8" s="62">
        <f>IF(F8&lt;0,-1*COS(I$4)*B8,COS(I$4)*B8)</f>
        <v>-0.30901951719817811</v>
      </c>
      <c r="K8" s="62">
        <f>IF(G8&lt;0,-1*SIN(I$4)*B8,SIN(I$4)*B8)</f>
        <v>3.9880455035005062</v>
      </c>
      <c r="L8" s="77">
        <f>L$4</f>
        <v>38</v>
      </c>
      <c r="M8" s="78">
        <f>K8+M$3</f>
        <v>3205065.7177022649</v>
      </c>
      <c r="N8" s="78">
        <f>J8+N$3</f>
        <v>782643.68358594703</v>
      </c>
      <c r="O8" s="76"/>
      <c r="P8" s="76"/>
      <c r="Q8" s="106">
        <f>latitude(L8,M8,N8)</f>
        <v>28.942388250515393</v>
      </c>
      <c r="R8" s="106">
        <f>longitude(L8,M8,N8)</f>
        <v>47.899618257416606</v>
      </c>
      <c r="S8" s="63"/>
      <c r="T8" s="56" t="str">
        <f>IF(Q8&gt;B$3,"N","S") &amp; IF(R8&gt;C$3,"E","W")</f>
        <v>NW</v>
      </c>
    </row>
    <row r="9" spans="1:20" x14ac:dyDescent="0.2">
      <c r="A9" s="54" t="s">
        <v>150</v>
      </c>
      <c r="B9" s="60">
        <v>5</v>
      </c>
      <c r="E9" s="61"/>
      <c r="F9" s="62">
        <f>N$4-N$3</f>
        <v>-0.63629116676747799</v>
      </c>
      <c r="G9" s="62">
        <f>M$4-M$3</f>
        <v>8.2116435542702675</v>
      </c>
      <c r="H9" s="62">
        <f>SQRT(F$4^2+G$4^2)</f>
        <v>8.2362586355271006</v>
      </c>
      <c r="I9" s="62">
        <f>ABS(ATAN(G$4/F$4))</f>
        <v>1.4934643934412253</v>
      </c>
      <c r="J9" s="62">
        <f>IF(F9&lt;0,-1*COS(I$4)*B9,COS(I$4)*B9)</f>
        <v>-0.38627439649772266</v>
      </c>
      <c r="K9" s="62">
        <f>IF(G9&lt;0,-1*SIN(I$4)*B9,SIN(I$4)*B9)</f>
        <v>4.9850568793756329</v>
      </c>
      <c r="L9" s="77">
        <f>L$4</f>
        <v>38</v>
      </c>
      <c r="M9" s="78">
        <f>K9+M$3</f>
        <v>3205066.714713641</v>
      </c>
      <c r="N9" s="78">
        <f>J9+N$3</f>
        <v>782643.60633106774</v>
      </c>
      <c r="O9" s="76"/>
      <c r="P9" s="76"/>
      <c r="Q9" s="106">
        <f>latitude(L9,M9,N9)</f>
        <v>28.942397255089332</v>
      </c>
      <c r="R9" s="106">
        <f>longitude(L9,M9,N9)</f>
        <v>47.899617716151411</v>
      </c>
      <c r="S9" s="63"/>
      <c r="T9" s="56" t="str">
        <f>IF(Q9&gt;B$3,"N","S") &amp; IF(R9&gt;C$3,"E","W")</f>
        <v>NW</v>
      </c>
    </row>
    <row r="10" spans="1:20" x14ac:dyDescent="0.2">
      <c r="A10" s="54" t="s">
        <v>151</v>
      </c>
      <c r="B10" s="60">
        <v>6</v>
      </c>
      <c r="E10" s="61"/>
      <c r="F10" s="62">
        <f>N$4-N$3</f>
        <v>-0.63629116676747799</v>
      </c>
      <c r="G10" s="62">
        <f>M$4-M$3</f>
        <v>8.2116435542702675</v>
      </c>
      <c r="H10" s="62">
        <f>SQRT(F$4^2+G$4^2)</f>
        <v>8.2362586355271006</v>
      </c>
      <c r="I10" s="62">
        <f>ABS(ATAN(G$4/F$4))</f>
        <v>1.4934643934412253</v>
      </c>
      <c r="J10" s="62">
        <f>IF(F10&lt;0,-1*COS(I$4)*B10,COS(I$4)*B10)</f>
        <v>-0.46352927579726716</v>
      </c>
      <c r="K10" s="62">
        <f>IF(G10&lt;0,-1*SIN(I$4)*B10,SIN(I$4)*B10)</f>
        <v>5.9820682552507591</v>
      </c>
      <c r="L10" s="77">
        <f>L$4</f>
        <v>38</v>
      </c>
      <c r="M10" s="78">
        <f>K10+M$3</f>
        <v>3205067.7117250166</v>
      </c>
      <c r="N10" s="78">
        <f>J10+N$3</f>
        <v>782643.52907618834</v>
      </c>
      <c r="O10" s="76"/>
      <c r="P10" s="76"/>
      <c r="Q10" s="106">
        <f>latitude(L10,M10,N10)</f>
        <v>28.942406259663269</v>
      </c>
      <c r="R10" s="106">
        <f>longitude(L10,M10,N10)</f>
        <v>47.899617174886203</v>
      </c>
      <c r="S10" s="63"/>
      <c r="T10" s="56" t="str">
        <f>IF(Q10&gt;B$3,"N","S") &amp; IF(R10&gt;C$3,"E","W")</f>
        <v>NW</v>
      </c>
    </row>
    <row r="11" spans="1:20" x14ac:dyDescent="0.2">
      <c r="A11" s="54" t="s">
        <v>152</v>
      </c>
      <c r="B11" s="60">
        <v>7</v>
      </c>
      <c r="E11" s="61"/>
      <c r="F11" s="62">
        <f>N$4-N$3</f>
        <v>-0.63629116676747799</v>
      </c>
      <c r="G11" s="62">
        <f>M$4-M$3</f>
        <v>8.2116435542702675</v>
      </c>
      <c r="H11" s="62">
        <f>SQRT(F$4^2+G$4^2)</f>
        <v>8.2362586355271006</v>
      </c>
      <c r="I11" s="62">
        <f>ABS(ATAN(G$4/F$4))</f>
        <v>1.4934643934412253</v>
      </c>
      <c r="J11" s="62">
        <f>IF(F11&lt;0,-1*COS(I$4)*B11,COS(I$4)*B11)</f>
        <v>-0.54078415509681166</v>
      </c>
      <c r="K11" s="62">
        <f>IF(G11&lt;0,-1*SIN(I$4)*B11,SIN(I$4)*B11)</f>
        <v>6.9790796311258863</v>
      </c>
      <c r="L11" s="77">
        <f>L$4</f>
        <v>38</v>
      </c>
      <c r="M11" s="78">
        <f>K11+M$3</f>
        <v>3205068.7087363927</v>
      </c>
      <c r="N11" s="78">
        <f>J11+N$3</f>
        <v>782643.45182130905</v>
      </c>
      <c r="O11" s="76"/>
      <c r="P11" s="76"/>
      <c r="Q11" s="106">
        <f>latitude(L11,M11,N11)</f>
        <v>28.942415264237194</v>
      </c>
      <c r="R11" s="106">
        <f>longitude(L11,M11,N11)</f>
        <v>47.899616633620965</v>
      </c>
      <c r="S11" s="63"/>
      <c r="T11" s="56" t="str">
        <f>IF(Q11&gt;B$3,"N","S") &amp; IF(R11&gt;C$3,"E","W")</f>
        <v>NW</v>
      </c>
    </row>
    <row r="12" spans="1:20" x14ac:dyDescent="0.2">
      <c r="A12" s="54"/>
      <c r="B12" s="60">
        <v>14</v>
      </c>
      <c r="E12" s="61"/>
      <c r="F12" s="62">
        <f>N$4-N$3</f>
        <v>-0.63629116676747799</v>
      </c>
      <c r="G12" s="62">
        <f>M$4-M$3</f>
        <v>8.2116435542702675</v>
      </c>
      <c r="H12" s="62">
        <f>SQRT(F$4^2+G$4^2)</f>
        <v>8.2362586355271006</v>
      </c>
      <c r="I12" s="62">
        <f>ABS(ATAN(G$4/F$4))</f>
        <v>1.4934643934412253</v>
      </c>
      <c r="J12" s="62">
        <f>IF(F12&lt;0,-1*COS(I$4)*B12,COS(I$4)*B12)</f>
        <v>-1.0815683101936233</v>
      </c>
      <c r="K12" s="62">
        <f>IF(G12&lt;0,-1*SIN(I$4)*B12,SIN(I$4)*B12)</f>
        <v>13.958159262251773</v>
      </c>
      <c r="L12" s="77">
        <f>L$4</f>
        <v>38</v>
      </c>
      <c r="M12" s="78">
        <f>K12+M$3</f>
        <v>3205075.6878160238</v>
      </c>
      <c r="N12" s="78">
        <f>J12+N$3</f>
        <v>782642.91103715403</v>
      </c>
      <c r="O12" s="76"/>
      <c r="P12" s="76"/>
      <c r="Q12" s="106">
        <f>latitude(L12,M12,N12)</f>
        <v>28.942478296254532</v>
      </c>
      <c r="R12" s="106">
        <f>longitude(L12,M12,N12)</f>
        <v>47.899612844763688</v>
      </c>
      <c r="S12" s="63"/>
      <c r="T12" s="56" t="str">
        <f>IF(Q12&gt;B$3,"N","S") &amp; IF(R12&gt;C$3,"E","W")</f>
        <v>NW</v>
      </c>
    </row>
    <row r="13" spans="1:20" x14ac:dyDescent="0.2">
      <c r="A13" s="48"/>
    </row>
    <row r="14" spans="1:20" x14ac:dyDescent="0.2">
      <c r="A14" s="48"/>
    </row>
    <row r="15" spans="1:20" x14ac:dyDescent="0.2">
      <c r="A15" s="48"/>
    </row>
    <row r="16" spans="1:20" x14ac:dyDescent="0.2">
      <c r="A16" s="48"/>
    </row>
    <row r="18" spans="1:1" ht="15" x14ac:dyDescent="0.2">
      <c r="A18" s="64" t="s">
        <v>153</v>
      </c>
    </row>
    <row r="19" spans="1:1" ht="15" x14ac:dyDescent="0.2">
      <c r="A19" s="64" t="s">
        <v>154</v>
      </c>
    </row>
    <row r="20" spans="1:1" ht="15" x14ac:dyDescent="0.2">
      <c r="A20" s="65" t="str">
        <f>"Points " &amp; A3 &amp; " and " &amp; A4 &amp; " are two points in a line."</f>
        <v>Points Trap and Riser are two points in a line.</v>
      </c>
    </row>
    <row r="21" spans="1:1" ht="15" x14ac:dyDescent="0.2">
      <c r="A21" s="64" t="str">
        <f>"Starting in row A8, enter features in each row showing the distance in meters from " &amp; A3 &amp; "."</f>
        <v>Starting in row A8, enter features in each row showing the distance in meters from Trap.</v>
      </c>
    </row>
    <row r="22" spans="1:1" ht="15" x14ac:dyDescent="0.2">
      <c r="A22" s="64" t="s">
        <v>155</v>
      </c>
    </row>
    <row r="23" spans="1:1" ht="15" x14ac:dyDescent="0.2">
      <c r="A23" s="64" t="str">
        <f>"The calculated points can be any distance positive or negative from " &amp; A3 &amp; "."</f>
        <v>The calculated points can be any distance positive or negative from Trap.</v>
      </c>
    </row>
  </sheetData>
  <mergeCells count="2">
    <mergeCell ref="F1:G1"/>
    <mergeCell ref="M7:N7"/>
  </mergeCells>
  <phoneticPr fontId="11" type="noConversion"/>
  <pageMargins left="0.75" right="0.75" top="1" bottom="1" header="0.5" footer="0.5"/>
  <pageSetup orientation="portrait" horizontalDpi="1200" verticalDpi="12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N25"/>
  <sheetViews>
    <sheetView workbookViewId="0">
      <selection activeCell="C18" sqref="C18"/>
    </sheetView>
  </sheetViews>
  <sheetFormatPr defaultRowHeight="12.75" x14ac:dyDescent="0.2"/>
  <cols>
    <col min="1" max="1" width="10.5703125" customWidth="1"/>
    <col min="2" max="2" width="15.42578125" bestFit="1" customWidth="1"/>
    <col min="3" max="3" width="9.5703125" style="66" bestFit="1" customWidth="1"/>
    <col min="4" max="4" width="11.140625" style="66" bestFit="1" customWidth="1"/>
    <col min="5" max="5" width="9.42578125" bestFit="1" customWidth="1"/>
    <col min="6" max="6" width="5.85546875" style="8" bestFit="1" customWidth="1"/>
    <col min="7" max="7" width="5" style="8" bestFit="1" customWidth="1"/>
    <col min="8" max="9" width="14.5703125" style="8" bestFit="1" customWidth="1"/>
    <col min="10" max="10" width="12.7109375" hidden="1" customWidth="1"/>
    <col min="11" max="11" width="13.85546875" hidden="1" customWidth="1"/>
    <col min="13" max="13" width="10.42578125" bestFit="1" customWidth="1"/>
  </cols>
  <sheetData>
    <row r="1" spans="1:14" x14ac:dyDescent="0.2">
      <c r="A1" s="44" t="s">
        <v>156</v>
      </c>
      <c r="G1" s="8" t="s">
        <v>157</v>
      </c>
    </row>
    <row r="2" spans="1:14" x14ac:dyDescent="0.2">
      <c r="A2" s="67" t="s">
        <v>158</v>
      </c>
      <c r="B2" s="67" t="s">
        <v>159</v>
      </c>
      <c r="C2" s="67" t="s">
        <v>2</v>
      </c>
      <c r="D2" s="67" t="s">
        <v>3</v>
      </c>
      <c r="E2" s="67" t="s">
        <v>160</v>
      </c>
      <c r="F2" s="67" t="s">
        <v>161</v>
      </c>
      <c r="G2" s="67" t="s">
        <v>162</v>
      </c>
      <c r="H2" s="67" t="s">
        <v>163</v>
      </c>
      <c r="I2" s="67" t="s">
        <v>164</v>
      </c>
      <c r="J2" s="68" t="s">
        <v>165</v>
      </c>
      <c r="K2" s="68" t="s">
        <v>166</v>
      </c>
      <c r="M2" s="67" t="s">
        <v>167</v>
      </c>
      <c r="N2" s="69" t="s">
        <v>168</v>
      </c>
    </row>
    <row r="3" spans="1:14" x14ac:dyDescent="0.2">
      <c r="A3" s="126">
        <f t="shared" ref="A3:A25" ca="1" si="0">INT(NOW())</f>
        <v>46247</v>
      </c>
      <c r="B3" s="127" t="s">
        <v>169</v>
      </c>
      <c r="C3" s="128">
        <v>31.71518</v>
      </c>
      <c r="D3" s="128">
        <v>-101.93789</v>
      </c>
      <c r="E3" s="129" t="s">
        <v>170</v>
      </c>
      <c r="F3" s="130">
        <f t="shared" ref="F3:F11" si="1">IF(E3="","",VLOOKUP(E3,M$3:N$8,2,0))</f>
        <v>-6</v>
      </c>
      <c r="G3" s="70">
        <v>1</v>
      </c>
      <c r="H3" s="131" t="e">
        <f ca="1">IF(E3="","",sunrise(C3,D3,A3,F3,G3)+A3)</f>
        <v>#NAME?</v>
      </c>
      <c r="I3" s="131" t="e">
        <f t="shared" ref="I3:I25" ca="1" si="2">IF(E3="","",sunset(C3,D3,A3,F3,G3)+A3)</f>
        <v>#NAME?</v>
      </c>
      <c r="J3" s="132" t="e">
        <f t="shared" ref="J3:J25" ca="1" si="3">sunrise(C3,D3,A3,0,0)+A3</f>
        <v>#NAME?</v>
      </c>
      <c r="K3" s="132" t="e">
        <f t="shared" ref="K3:K25" ca="1" si="4">sunset(C3,D3,A3,0,0)+A3</f>
        <v>#NAME?</v>
      </c>
      <c r="M3" s="133" t="s">
        <v>171</v>
      </c>
      <c r="N3" s="134">
        <v>-8</v>
      </c>
    </row>
    <row r="4" spans="1:14" x14ac:dyDescent="0.2">
      <c r="A4" s="126">
        <f t="shared" ca="1" si="0"/>
        <v>46247</v>
      </c>
      <c r="B4" s="127" t="s">
        <v>172</v>
      </c>
      <c r="C4" s="128">
        <v>29.543669999999999</v>
      </c>
      <c r="D4" s="128">
        <v>-95.505629999999996</v>
      </c>
      <c r="E4" s="135" t="s">
        <v>170</v>
      </c>
      <c r="F4" s="130">
        <f t="shared" si="1"/>
        <v>-6</v>
      </c>
      <c r="G4" s="70">
        <v>1</v>
      </c>
      <c r="H4" s="131" t="e">
        <f t="shared" ref="H4:H25" ca="1" si="5">IF(E4="","",sunrise(C4,D4,A4,F4,G4)+A4)</f>
        <v>#NAME?</v>
      </c>
      <c r="I4" s="131" t="e">
        <f t="shared" ca="1" si="2"/>
        <v>#NAME?</v>
      </c>
      <c r="J4" s="132" t="e">
        <f t="shared" ca="1" si="3"/>
        <v>#NAME?</v>
      </c>
      <c r="K4" s="132" t="e">
        <f t="shared" ca="1" si="4"/>
        <v>#NAME?</v>
      </c>
      <c r="M4" s="133" t="s">
        <v>173</v>
      </c>
      <c r="N4" s="134">
        <v>-7</v>
      </c>
    </row>
    <row r="5" spans="1:14" x14ac:dyDescent="0.2">
      <c r="A5" s="126">
        <f t="shared" ca="1" si="0"/>
        <v>46247</v>
      </c>
      <c r="B5" s="127" t="s">
        <v>174</v>
      </c>
      <c r="C5" s="128">
        <v>40.357812000000003</v>
      </c>
      <c r="D5" s="128">
        <v>-77.546693000000005</v>
      </c>
      <c r="E5" s="135" t="s">
        <v>175</v>
      </c>
      <c r="F5" s="130">
        <f t="shared" si="1"/>
        <v>-5</v>
      </c>
      <c r="G5" s="70">
        <v>1</v>
      </c>
      <c r="H5" s="131" t="e">
        <f t="shared" ca="1" si="5"/>
        <v>#NAME?</v>
      </c>
      <c r="I5" s="131" t="e">
        <f t="shared" ca="1" si="2"/>
        <v>#NAME?</v>
      </c>
      <c r="J5" s="132" t="e">
        <f t="shared" ca="1" si="3"/>
        <v>#NAME?</v>
      </c>
      <c r="K5" s="132" t="e">
        <f t="shared" ca="1" si="4"/>
        <v>#NAME?</v>
      </c>
      <c r="M5" s="133" t="s">
        <v>170</v>
      </c>
      <c r="N5" s="134">
        <v>-6</v>
      </c>
    </row>
    <row r="6" spans="1:14" x14ac:dyDescent="0.2">
      <c r="A6" s="126">
        <f t="shared" ca="1" si="0"/>
        <v>46247</v>
      </c>
      <c r="B6" s="127" t="s">
        <v>176</v>
      </c>
      <c r="C6" s="128">
        <v>48.433270800000003</v>
      </c>
      <c r="D6" s="128">
        <v>-123.36114019999999</v>
      </c>
      <c r="E6" s="135" t="s">
        <v>171</v>
      </c>
      <c r="F6" s="130">
        <f t="shared" si="1"/>
        <v>-8</v>
      </c>
      <c r="G6" s="70">
        <v>1</v>
      </c>
      <c r="H6" s="131" t="e">
        <f t="shared" ca="1" si="5"/>
        <v>#NAME?</v>
      </c>
      <c r="I6" s="131" t="e">
        <f t="shared" ca="1" si="2"/>
        <v>#NAME?</v>
      </c>
      <c r="J6" s="132" t="e">
        <f t="shared" ca="1" si="3"/>
        <v>#NAME?</v>
      </c>
      <c r="K6" s="132" t="e">
        <f t="shared" ca="1" si="4"/>
        <v>#NAME?</v>
      </c>
      <c r="M6" s="133" t="s">
        <v>175</v>
      </c>
      <c r="N6" s="134">
        <v>-5</v>
      </c>
    </row>
    <row r="7" spans="1:14" x14ac:dyDescent="0.2">
      <c r="A7" s="126">
        <f t="shared" ca="1" si="0"/>
        <v>46247</v>
      </c>
      <c r="B7" s="127" t="s">
        <v>177</v>
      </c>
      <c r="C7" s="128">
        <v>49.668999999999997</v>
      </c>
      <c r="D7" s="128">
        <v>-109.50306999999999</v>
      </c>
      <c r="E7" s="135" t="s">
        <v>178</v>
      </c>
      <c r="F7" s="130">
        <f t="shared" si="1"/>
        <v>-7</v>
      </c>
      <c r="G7" s="70">
        <v>0</v>
      </c>
      <c r="H7" s="131" t="e">
        <f t="shared" ca="1" si="5"/>
        <v>#NAME?</v>
      </c>
      <c r="I7" s="131" t="e">
        <f t="shared" ca="1" si="2"/>
        <v>#NAME?</v>
      </c>
      <c r="J7" s="132" t="e">
        <f t="shared" ca="1" si="3"/>
        <v>#NAME?</v>
      </c>
      <c r="K7" s="132" t="e">
        <f t="shared" ca="1" si="4"/>
        <v>#NAME?</v>
      </c>
      <c r="M7" s="133" t="s">
        <v>178</v>
      </c>
      <c r="N7" s="134">
        <v>-7</v>
      </c>
    </row>
    <row r="8" spans="1:14" x14ac:dyDescent="0.2">
      <c r="A8" s="126">
        <f t="shared" ca="1" si="0"/>
        <v>46247</v>
      </c>
      <c r="B8" s="127" t="s">
        <v>179</v>
      </c>
      <c r="C8" s="128">
        <v>49.198841999999999</v>
      </c>
      <c r="D8" s="128">
        <v>-101.67971199999999</v>
      </c>
      <c r="E8" s="135" t="s">
        <v>178</v>
      </c>
      <c r="F8" s="130">
        <f t="shared" si="1"/>
        <v>-7</v>
      </c>
      <c r="G8" s="70">
        <v>0</v>
      </c>
      <c r="H8" s="131" t="e">
        <f t="shared" ca="1" si="5"/>
        <v>#NAME?</v>
      </c>
      <c r="I8" s="131" t="e">
        <f t="shared" ca="1" si="2"/>
        <v>#NAME?</v>
      </c>
      <c r="J8" s="132" t="e">
        <f t="shared" ca="1" si="3"/>
        <v>#NAME?</v>
      </c>
      <c r="K8" s="132" t="e">
        <f t="shared" ca="1" si="4"/>
        <v>#NAME?</v>
      </c>
      <c r="M8" s="133" t="s">
        <v>180</v>
      </c>
      <c r="N8" s="134">
        <v>-4.5</v>
      </c>
    </row>
    <row r="9" spans="1:14" x14ac:dyDescent="0.2">
      <c r="A9" s="126">
        <f t="shared" ca="1" si="0"/>
        <v>46247</v>
      </c>
      <c r="B9" s="127" t="s">
        <v>181</v>
      </c>
      <c r="C9" s="128">
        <v>0.40209600000000001</v>
      </c>
      <c r="D9" s="128">
        <v>-78.178732999999994</v>
      </c>
      <c r="E9" s="135" t="s">
        <v>170</v>
      </c>
      <c r="F9" s="130">
        <f t="shared" si="1"/>
        <v>-6</v>
      </c>
      <c r="G9" s="70">
        <v>0</v>
      </c>
      <c r="H9" s="131" t="e">
        <f t="shared" ca="1" si="5"/>
        <v>#NAME?</v>
      </c>
      <c r="I9" s="131" t="e">
        <f t="shared" ca="1" si="2"/>
        <v>#NAME?</v>
      </c>
      <c r="J9" s="132" t="e">
        <f t="shared" ca="1" si="3"/>
        <v>#NAME?</v>
      </c>
      <c r="K9" s="132" t="e">
        <f t="shared" ca="1" si="4"/>
        <v>#NAME?</v>
      </c>
    </row>
    <row r="10" spans="1:14" x14ac:dyDescent="0.2">
      <c r="A10" s="126">
        <f t="shared" ca="1" si="0"/>
        <v>46247</v>
      </c>
      <c r="B10" s="127" t="s">
        <v>182</v>
      </c>
      <c r="C10" s="128">
        <v>47.622641999999999</v>
      </c>
      <c r="D10" s="128">
        <v>-55.477032000000001</v>
      </c>
      <c r="E10" s="135" t="s">
        <v>180</v>
      </c>
      <c r="F10" s="130">
        <f t="shared" si="1"/>
        <v>-4.5</v>
      </c>
      <c r="G10" s="70">
        <v>1</v>
      </c>
      <c r="H10" s="131" t="e">
        <f t="shared" ca="1" si="5"/>
        <v>#NAME?</v>
      </c>
      <c r="I10" s="131" t="e">
        <f t="shared" ca="1" si="2"/>
        <v>#NAME?</v>
      </c>
      <c r="J10" s="132" t="e">
        <f t="shared" ca="1" si="3"/>
        <v>#NAME?</v>
      </c>
      <c r="K10" s="132" t="e">
        <f t="shared" ca="1" si="4"/>
        <v>#NAME?</v>
      </c>
    </row>
    <row r="11" spans="1:14" x14ac:dyDescent="0.2">
      <c r="A11" s="126">
        <f t="shared" ca="1" si="0"/>
        <v>46247</v>
      </c>
      <c r="B11" s="127" t="s">
        <v>183</v>
      </c>
      <c r="C11" s="128">
        <v>30.75</v>
      </c>
      <c r="D11" s="128">
        <v>-94.9</v>
      </c>
      <c r="E11" s="135" t="s">
        <v>170</v>
      </c>
      <c r="F11" s="130">
        <f t="shared" si="1"/>
        <v>-6</v>
      </c>
      <c r="G11" s="70">
        <v>1</v>
      </c>
      <c r="H11" s="131" t="e">
        <f t="shared" ca="1" si="5"/>
        <v>#NAME?</v>
      </c>
      <c r="I11" s="131" t="e">
        <f t="shared" ca="1" si="2"/>
        <v>#NAME?</v>
      </c>
      <c r="J11" s="132" t="e">
        <f t="shared" ca="1" si="3"/>
        <v>#NAME?</v>
      </c>
      <c r="K11" s="132" t="e">
        <f t="shared" ca="1" si="4"/>
        <v>#NAME?</v>
      </c>
    </row>
    <row r="12" spans="1:14" x14ac:dyDescent="0.2">
      <c r="A12" s="126">
        <f t="shared" ca="1" si="0"/>
        <v>46247</v>
      </c>
      <c r="B12" s="127" t="s">
        <v>184</v>
      </c>
      <c r="C12" s="128">
        <v>29.5</v>
      </c>
      <c r="D12" s="128">
        <v>48.5</v>
      </c>
      <c r="E12" s="135" t="s">
        <v>185</v>
      </c>
      <c r="F12" s="130">
        <v>3</v>
      </c>
      <c r="G12" s="70">
        <v>0</v>
      </c>
      <c r="H12" s="131" t="e">
        <f t="shared" ca="1" si="5"/>
        <v>#NAME?</v>
      </c>
      <c r="I12" s="131" t="e">
        <f t="shared" ca="1" si="2"/>
        <v>#NAME?</v>
      </c>
      <c r="J12" s="132" t="e">
        <f t="shared" ca="1" si="3"/>
        <v>#NAME?</v>
      </c>
      <c r="K12" s="132" t="e">
        <f t="shared" ca="1" si="4"/>
        <v>#NAME?</v>
      </c>
    </row>
    <row r="13" spans="1:14" x14ac:dyDescent="0.2">
      <c r="A13" s="126">
        <f t="shared" ca="1" si="0"/>
        <v>46247</v>
      </c>
      <c r="B13" s="127" t="s">
        <v>186</v>
      </c>
      <c r="C13" s="128">
        <v>34.991500000000002</v>
      </c>
      <c r="D13" s="128">
        <v>-89.85</v>
      </c>
      <c r="E13" s="135" t="s">
        <v>170</v>
      </c>
      <c r="F13" s="130">
        <f t="shared" ref="F13:F25" si="6">IF(E13="","",VLOOKUP(E13,M$3:N$8,2,0))</f>
        <v>-6</v>
      </c>
      <c r="G13" s="70">
        <v>1</v>
      </c>
      <c r="H13" s="131" t="e">
        <f t="shared" ca="1" si="5"/>
        <v>#NAME?</v>
      </c>
      <c r="I13" s="131" t="e">
        <f t="shared" ca="1" si="2"/>
        <v>#NAME?</v>
      </c>
      <c r="J13" s="132" t="e">
        <f t="shared" ca="1" si="3"/>
        <v>#NAME?</v>
      </c>
      <c r="K13" s="132" t="e">
        <f t="shared" ca="1" si="4"/>
        <v>#NAME?</v>
      </c>
    </row>
    <row r="14" spans="1:14" x14ac:dyDescent="0.2">
      <c r="A14" s="126">
        <f t="shared" ca="1" si="0"/>
        <v>46247</v>
      </c>
      <c r="B14" s="127"/>
      <c r="C14" s="128"/>
      <c r="D14" s="128"/>
      <c r="E14" s="135"/>
      <c r="F14" s="130" t="str">
        <f t="shared" si="6"/>
        <v/>
      </c>
      <c r="G14" s="70"/>
      <c r="H14" s="131" t="str">
        <f t="shared" si="5"/>
        <v/>
      </c>
      <c r="I14" s="131" t="str">
        <f t="shared" si="2"/>
        <v/>
      </c>
      <c r="J14" s="132" t="e">
        <f t="shared" ca="1" si="3"/>
        <v>#NAME?</v>
      </c>
      <c r="K14" s="132" t="e">
        <f t="shared" ca="1" si="4"/>
        <v>#NAME?</v>
      </c>
    </row>
    <row r="15" spans="1:14" x14ac:dyDescent="0.2">
      <c r="A15" s="126">
        <f t="shared" ca="1" si="0"/>
        <v>46247</v>
      </c>
      <c r="B15" s="127"/>
      <c r="C15" s="128"/>
      <c r="D15" s="128"/>
      <c r="E15" s="135"/>
      <c r="F15" s="130" t="str">
        <f t="shared" si="6"/>
        <v/>
      </c>
      <c r="G15" s="70"/>
      <c r="H15" s="131" t="str">
        <f t="shared" si="5"/>
        <v/>
      </c>
      <c r="I15" s="131" t="str">
        <f t="shared" si="2"/>
        <v/>
      </c>
      <c r="J15" s="132" t="e">
        <f t="shared" ca="1" si="3"/>
        <v>#NAME?</v>
      </c>
      <c r="K15" s="132" t="e">
        <f t="shared" ca="1" si="4"/>
        <v>#NAME?</v>
      </c>
    </row>
    <row r="16" spans="1:14" x14ac:dyDescent="0.2">
      <c r="A16" s="126">
        <f t="shared" ca="1" si="0"/>
        <v>46247</v>
      </c>
      <c r="B16" s="127"/>
      <c r="C16" s="128"/>
      <c r="D16" s="128"/>
      <c r="E16" s="135"/>
      <c r="F16" s="130" t="str">
        <f t="shared" si="6"/>
        <v/>
      </c>
      <c r="G16" s="70"/>
      <c r="H16" s="131" t="str">
        <f t="shared" si="5"/>
        <v/>
      </c>
      <c r="I16" s="131" t="str">
        <f t="shared" si="2"/>
        <v/>
      </c>
      <c r="J16" s="132" t="e">
        <f t="shared" ca="1" si="3"/>
        <v>#NAME?</v>
      </c>
      <c r="K16" s="132" t="e">
        <f t="shared" ca="1" si="4"/>
        <v>#NAME?</v>
      </c>
    </row>
    <row r="17" spans="1:11" x14ac:dyDescent="0.2">
      <c r="A17" s="126">
        <f t="shared" ca="1" si="0"/>
        <v>46247</v>
      </c>
      <c r="B17" s="127"/>
      <c r="C17" s="128"/>
      <c r="D17" s="128"/>
      <c r="E17" s="135"/>
      <c r="F17" s="130" t="str">
        <f t="shared" si="6"/>
        <v/>
      </c>
      <c r="G17" s="70"/>
      <c r="H17" s="131" t="str">
        <f t="shared" si="5"/>
        <v/>
      </c>
      <c r="I17" s="131" t="str">
        <f t="shared" si="2"/>
        <v/>
      </c>
      <c r="J17" s="132" t="e">
        <f t="shared" ca="1" si="3"/>
        <v>#NAME?</v>
      </c>
      <c r="K17" s="132" t="e">
        <f t="shared" ca="1" si="4"/>
        <v>#NAME?</v>
      </c>
    </row>
    <row r="18" spans="1:11" x14ac:dyDescent="0.2">
      <c r="A18" s="126">
        <f t="shared" ca="1" si="0"/>
        <v>46247</v>
      </c>
      <c r="B18" s="127"/>
      <c r="C18" s="128"/>
      <c r="D18" s="128"/>
      <c r="E18" s="135"/>
      <c r="F18" s="130" t="str">
        <f t="shared" si="6"/>
        <v/>
      </c>
      <c r="G18" s="70"/>
      <c r="H18" s="131" t="str">
        <f t="shared" si="5"/>
        <v/>
      </c>
      <c r="I18" s="131" t="str">
        <f t="shared" si="2"/>
        <v/>
      </c>
      <c r="J18" s="132" t="e">
        <f t="shared" ca="1" si="3"/>
        <v>#NAME?</v>
      </c>
      <c r="K18" s="132" t="e">
        <f t="shared" ca="1" si="4"/>
        <v>#NAME?</v>
      </c>
    </row>
    <row r="19" spans="1:11" x14ac:dyDescent="0.2">
      <c r="A19" s="126">
        <f t="shared" ca="1" si="0"/>
        <v>46247</v>
      </c>
      <c r="B19" s="127"/>
      <c r="C19" s="128"/>
      <c r="D19" s="128"/>
      <c r="E19" s="135"/>
      <c r="F19" s="130" t="str">
        <f t="shared" si="6"/>
        <v/>
      </c>
      <c r="G19" s="70"/>
      <c r="H19" s="131" t="str">
        <f t="shared" si="5"/>
        <v/>
      </c>
      <c r="I19" s="131" t="str">
        <f t="shared" si="2"/>
        <v/>
      </c>
      <c r="J19" s="132" t="e">
        <f t="shared" ca="1" si="3"/>
        <v>#NAME?</v>
      </c>
      <c r="K19" s="132" t="e">
        <f t="shared" ca="1" si="4"/>
        <v>#NAME?</v>
      </c>
    </row>
    <row r="20" spans="1:11" x14ac:dyDescent="0.2">
      <c r="A20" s="126">
        <f t="shared" ca="1" si="0"/>
        <v>46247</v>
      </c>
      <c r="B20" s="127"/>
      <c r="C20" s="128"/>
      <c r="D20" s="128"/>
      <c r="E20" s="135"/>
      <c r="F20" s="130" t="str">
        <f t="shared" si="6"/>
        <v/>
      </c>
      <c r="G20" s="70"/>
      <c r="H20" s="131" t="str">
        <f t="shared" si="5"/>
        <v/>
      </c>
      <c r="I20" s="131" t="str">
        <f t="shared" si="2"/>
        <v/>
      </c>
      <c r="J20" s="132" t="e">
        <f t="shared" ca="1" si="3"/>
        <v>#NAME?</v>
      </c>
      <c r="K20" s="132" t="e">
        <f t="shared" ca="1" si="4"/>
        <v>#NAME?</v>
      </c>
    </row>
    <row r="21" spans="1:11" x14ac:dyDescent="0.2">
      <c r="A21" s="126">
        <f t="shared" ca="1" si="0"/>
        <v>46247</v>
      </c>
      <c r="B21" s="127"/>
      <c r="C21" s="128"/>
      <c r="D21" s="128"/>
      <c r="E21" s="135"/>
      <c r="F21" s="130" t="str">
        <f t="shared" si="6"/>
        <v/>
      </c>
      <c r="G21" s="70"/>
      <c r="H21" s="131" t="str">
        <f t="shared" si="5"/>
        <v/>
      </c>
      <c r="I21" s="131" t="str">
        <f t="shared" si="2"/>
        <v/>
      </c>
      <c r="J21" s="132" t="e">
        <f t="shared" ca="1" si="3"/>
        <v>#NAME?</v>
      </c>
      <c r="K21" s="132" t="e">
        <f t="shared" ca="1" si="4"/>
        <v>#NAME?</v>
      </c>
    </row>
    <row r="22" spans="1:11" x14ac:dyDescent="0.2">
      <c r="A22" s="126">
        <f t="shared" ca="1" si="0"/>
        <v>46247</v>
      </c>
      <c r="B22" s="127"/>
      <c r="C22" s="128"/>
      <c r="D22" s="128"/>
      <c r="E22" s="135"/>
      <c r="F22" s="130" t="str">
        <f t="shared" si="6"/>
        <v/>
      </c>
      <c r="G22" s="70"/>
      <c r="H22" s="131" t="str">
        <f t="shared" si="5"/>
        <v/>
      </c>
      <c r="I22" s="131" t="str">
        <f t="shared" si="2"/>
        <v/>
      </c>
      <c r="J22" s="132" t="e">
        <f t="shared" ca="1" si="3"/>
        <v>#NAME?</v>
      </c>
      <c r="K22" s="132" t="e">
        <f t="shared" ca="1" si="4"/>
        <v>#NAME?</v>
      </c>
    </row>
    <row r="23" spans="1:11" x14ac:dyDescent="0.2">
      <c r="A23" s="126">
        <f t="shared" ca="1" si="0"/>
        <v>46247</v>
      </c>
      <c r="B23" s="127"/>
      <c r="C23" s="128"/>
      <c r="D23" s="128"/>
      <c r="E23" s="135"/>
      <c r="F23" s="130" t="str">
        <f t="shared" si="6"/>
        <v/>
      </c>
      <c r="G23" s="70"/>
      <c r="H23" s="131" t="str">
        <f t="shared" si="5"/>
        <v/>
      </c>
      <c r="I23" s="131" t="str">
        <f t="shared" si="2"/>
        <v/>
      </c>
      <c r="J23" s="132" t="e">
        <f t="shared" ca="1" si="3"/>
        <v>#NAME?</v>
      </c>
      <c r="K23" s="132" t="e">
        <f t="shared" ca="1" si="4"/>
        <v>#NAME?</v>
      </c>
    </row>
    <row r="24" spans="1:11" x14ac:dyDescent="0.2">
      <c r="A24" s="126">
        <f t="shared" ca="1" si="0"/>
        <v>46247</v>
      </c>
      <c r="B24" s="127"/>
      <c r="C24" s="128"/>
      <c r="D24" s="128"/>
      <c r="E24" s="135"/>
      <c r="F24" s="130" t="str">
        <f t="shared" si="6"/>
        <v/>
      </c>
      <c r="G24" s="70"/>
      <c r="H24" s="131" t="str">
        <f t="shared" si="5"/>
        <v/>
      </c>
      <c r="I24" s="131" t="str">
        <f t="shared" si="2"/>
        <v/>
      </c>
      <c r="J24" s="132" t="e">
        <f t="shared" ca="1" si="3"/>
        <v>#NAME?</v>
      </c>
      <c r="K24" s="132" t="e">
        <f t="shared" ca="1" si="4"/>
        <v>#NAME?</v>
      </c>
    </row>
    <row r="25" spans="1:11" x14ac:dyDescent="0.2">
      <c r="A25" s="126">
        <f t="shared" ca="1" si="0"/>
        <v>46247</v>
      </c>
      <c r="B25" s="127"/>
      <c r="C25" s="128"/>
      <c r="D25" s="128"/>
      <c r="E25" s="135"/>
      <c r="F25" s="130" t="str">
        <f t="shared" si="6"/>
        <v/>
      </c>
      <c r="G25" s="70"/>
      <c r="H25" s="131" t="str">
        <f t="shared" si="5"/>
        <v/>
      </c>
      <c r="I25" s="131" t="str">
        <f t="shared" si="2"/>
        <v/>
      </c>
      <c r="J25" s="132" t="e">
        <f t="shared" ca="1" si="3"/>
        <v>#NAME?</v>
      </c>
      <c r="K25" s="132" t="e">
        <f t="shared" ca="1" si="4"/>
        <v>#NAME?</v>
      </c>
    </row>
  </sheetData>
  <phoneticPr fontId="10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J422"/>
  <sheetViews>
    <sheetView workbookViewId="0">
      <pane ySplit="1" topLeftCell="A2" activePane="bottomLeft" state="frozen"/>
      <selection pane="bottomLeft" activeCell="AE8" sqref="AE8"/>
    </sheetView>
  </sheetViews>
  <sheetFormatPr defaultRowHeight="12.75" x14ac:dyDescent="0.2"/>
  <cols>
    <col min="1" max="1" width="9.28515625" style="8" customWidth="1"/>
    <col min="2" max="3" width="10.5703125" style="100" bestFit="1" customWidth="1"/>
    <col min="4" max="4" width="9.140625" style="101" customWidth="1"/>
    <col min="5" max="5" width="7.85546875" style="103" customWidth="1"/>
    <col min="6" max="6" width="0" hidden="1" customWidth="1"/>
    <col min="7" max="10" width="10.5703125" style="100" hidden="1" customWidth="1"/>
    <col min="11" max="11" width="5" style="100" hidden="1" customWidth="1"/>
    <col min="12" max="12" width="11.140625" hidden="1" customWidth="1"/>
    <col min="13" max="13" width="10.140625" hidden="1" customWidth="1"/>
    <col min="14" max="14" width="11.140625" hidden="1" customWidth="1"/>
    <col min="15" max="17" width="10.140625" hidden="1" customWidth="1"/>
    <col min="18" max="20" width="9.140625" hidden="1" customWidth="1"/>
    <col min="21" max="22" width="9.140625" style="14" hidden="1" customWidth="1"/>
    <col min="23" max="23" width="9.5703125" hidden="1" customWidth="1"/>
    <col min="24" max="24" width="8.5703125" hidden="1" customWidth="1"/>
    <col min="25" max="26" width="10.5703125" style="100" hidden="1" customWidth="1"/>
    <col min="27" max="28" width="9.5703125" hidden="1" customWidth="1"/>
    <col min="29" max="30" width="10.28515625" hidden="1" customWidth="1"/>
    <col min="35" max="36" width="10.5703125" style="100" bestFit="1" customWidth="1"/>
  </cols>
  <sheetData>
    <row r="1" spans="1:36" x14ac:dyDescent="0.2">
      <c r="A1" s="8" t="s">
        <v>187</v>
      </c>
      <c r="B1" s="99" t="s">
        <v>2</v>
      </c>
      <c r="C1" s="99" t="s">
        <v>3</v>
      </c>
      <c r="D1" s="101" t="s">
        <v>188</v>
      </c>
      <c r="E1" s="42" t="s">
        <v>142</v>
      </c>
      <c r="F1" s="8" t="s">
        <v>189</v>
      </c>
      <c r="G1" s="99" t="s">
        <v>190</v>
      </c>
      <c r="H1" s="99" t="s">
        <v>191</v>
      </c>
      <c r="I1" s="99" t="s">
        <v>192</v>
      </c>
      <c r="J1" s="99" t="s">
        <v>193</v>
      </c>
      <c r="K1" s="99" t="s">
        <v>13</v>
      </c>
      <c r="L1" s="99" t="s">
        <v>194</v>
      </c>
      <c r="M1" s="99" t="s">
        <v>195</v>
      </c>
      <c r="N1" s="99" t="s">
        <v>196</v>
      </c>
      <c r="O1" s="99" t="s">
        <v>197</v>
      </c>
      <c r="P1" s="99" t="s">
        <v>124</v>
      </c>
      <c r="Q1" s="99" t="s">
        <v>17</v>
      </c>
      <c r="R1" s="99" t="s">
        <v>142</v>
      </c>
      <c r="S1" s="99" t="s">
        <v>198</v>
      </c>
      <c r="T1" s="99" t="s">
        <v>143</v>
      </c>
      <c r="U1" s="16" t="s">
        <v>199</v>
      </c>
      <c r="V1" s="16" t="s">
        <v>200</v>
      </c>
      <c r="W1" s="99" t="s">
        <v>200</v>
      </c>
      <c r="X1" s="99" t="s">
        <v>199</v>
      </c>
      <c r="Y1" s="99" t="s">
        <v>201</v>
      </c>
      <c r="Z1" s="99" t="s">
        <v>202</v>
      </c>
      <c r="AE1" s="7" t="s">
        <v>125</v>
      </c>
      <c r="AF1" s="7" t="s">
        <v>141</v>
      </c>
      <c r="AG1" s="7" t="s">
        <v>203</v>
      </c>
    </row>
    <row r="2" spans="1:36" x14ac:dyDescent="0.2">
      <c r="A2" s="8">
        <v>0</v>
      </c>
      <c r="B2" s="100">
        <v>28.928698826000002</v>
      </c>
      <c r="C2" s="100">
        <v>47.968313471999998</v>
      </c>
      <c r="D2" s="101">
        <v>0</v>
      </c>
      <c r="F2" s="7" t="str">
        <f>IF(C2="",1,"")</f>
        <v/>
      </c>
      <c r="AI2" s="100">
        <f>IF(B2="",Y2,B2)</f>
        <v>28.928698826000002</v>
      </c>
      <c r="AJ2" s="100">
        <f>IF(C2="",Z2,C2)</f>
        <v>47.968313471999998</v>
      </c>
    </row>
    <row r="3" spans="1:36" x14ac:dyDescent="0.2">
      <c r="A3" s="8">
        <v>1E-3</v>
      </c>
      <c r="B3" s="100">
        <v>28.928698145999999</v>
      </c>
      <c r="C3" s="100">
        <v>47.968298609000001</v>
      </c>
      <c r="D3" s="101">
        <v>1.4512487674552006</v>
      </c>
      <c r="E3" s="42" t="str">
        <f>IF(F3=1,D3-D2,"")</f>
        <v/>
      </c>
      <c r="F3" s="7" t="str">
        <f>IF(C3="",1,"")</f>
        <v/>
      </c>
      <c r="G3" s="100" t="str">
        <f>IF(F3=1,IF(B2="",G2,B2),"")</f>
        <v/>
      </c>
      <c r="H3" s="100" t="str">
        <f>IF(F3=1,IF(C2="",H2,C2),"")</f>
        <v/>
      </c>
      <c r="I3" s="100" t="str">
        <f>IF(F3=1,IF(B4="",I4,B4),"")</f>
        <v/>
      </c>
      <c r="J3" s="100" t="str">
        <f>IF(F3=1,IF(C4="",J4,C4),"")</f>
        <v/>
      </c>
      <c r="K3" s="102" t="str">
        <f>IF(F3=1,utmzone_long(J3),"")</f>
        <v/>
      </c>
      <c r="L3" s="103" t="str">
        <f>IF(F3=1,northing(G3,H3),"")</f>
        <v/>
      </c>
      <c r="M3" s="103" t="str">
        <f>IF(F3=1,easting(G3,H3),"")</f>
        <v/>
      </c>
      <c r="N3" s="103" t="str">
        <f>IF(F3=1,northing(I3,J3),"")</f>
        <v/>
      </c>
      <c r="O3" s="103" t="str">
        <f>IF(F3=1,easting(I3,J3),"")</f>
        <v/>
      </c>
      <c r="P3" s="105" t="str">
        <f>IF(F3=1,N3-L3,"")</f>
        <v/>
      </c>
      <c r="Q3" s="105" t="str">
        <f>IF(F3=1,O3-M3,"")</f>
        <v/>
      </c>
      <c r="R3" s="104" t="str">
        <f>IF(F3=1,SQRT(ABS(L3-N3)^2+ABS(M3-O3)^2),"")</f>
        <v/>
      </c>
      <c r="S3" s="104" t="str">
        <f>IF(F3=1,IF(N3&lt;L3,"S","N") &amp; IF(O3&lt;M3,"W","E"),"")</f>
        <v/>
      </c>
      <c r="T3" s="105" t="str">
        <f>IF(F3=1,ABS(ATAN((P3)/Q3)),"")</f>
        <v/>
      </c>
      <c r="U3" s="14" t="str">
        <f>IF(F3=1,IF(Q3&lt;0,-1*COS(T3)*E3,COS(T3)*E3),"")</f>
        <v/>
      </c>
      <c r="V3" s="14" t="str">
        <f>IF(F3=1,IF(P3&lt;0,-1*SIN(T3)*E3,SIN(T3)*E3),"")</f>
        <v/>
      </c>
      <c r="W3" s="103" t="str">
        <f>IF(F3=1,V3+L3,"")</f>
        <v/>
      </c>
      <c r="X3" s="103" t="str">
        <f>IF(F3=1,U3+M3,"")</f>
        <v/>
      </c>
      <c r="Y3" s="100" t="str">
        <f>IF(F3=1,latitude(K3,W3,X3),"")</f>
        <v/>
      </c>
      <c r="Z3" s="100" t="str">
        <f>IF(F3=1,longitude(K3,W3,X3),"")</f>
        <v/>
      </c>
      <c r="AA3" s="100" t="e">
        <f>B2-Y3</f>
        <v>#VALUE!</v>
      </c>
      <c r="AB3" s="100" t="e">
        <f>Y3-B4</f>
        <v>#VALUE!</v>
      </c>
      <c r="AC3" s="100" t="e">
        <f>C2-Z3</f>
        <v>#VALUE!</v>
      </c>
      <c r="AD3" s="100" t="e">
        <f>Z3-C4</f>
        <v>#VALUE!</v>
      </c>
      <c r="AE3" s="8" t="str">
        <f>IF(E3="","",IF(OR(AND(AA3&gt;0,AB3&gt;0),AND(AA3&lt;0,AB3&lt;0)),"Good",""))</f>
        <v/>
      </c>
      <c r="AF3" s="8" t="str">
        <f>IF(E3="","",IF(OR(AND(AC3&gt;0,AD3&gt;0),AND(AC3&lt;0,AD3&lt;0)),"Good",""))</f>
        <v/>
      </c>
      <c r="AG3" s="7" t="str">
        <f>IF(F3=1,IF(AND(AE3="Good",AF3="Good"),"Good",""),"Good")</f>
        <v>Good</v>
      </c>
      <c r="AI3" s="100">
        <f t="shared" ref="AI3:AI66" si="0">IF(B3="",Y3,B3)</f>
        <v>28.928698145999999</v>
      </c>
      <c r="AJ3" s="100">
        <f t="shared" ref="AJ3:AJ66" si="1">IF(C3="",Z3,C3)</f>
        <v>47.968298609000001</v>
      </c>
    </row>
    <row r="4" spans="1:36" x14ac:dyDescent="0.2">
      <c r="A4" s="8">
        <v>2E-3</v>
      </c>
      <c r="B4" s="100">
        <v>28.928688825999998</v>
      </c>
      <c r="C4" s="100">
        <v>47.968297454999998</v>
      </c>
      <c r="D4" s="101">
        <v>2.4991343145804548</v>
      </c>
      <c r="E4" s="42" t="str">
        <f t="shared" ref="E4:E25" si="2">IF(F4=1,D4-D3,"")</f>
        <v/>
      </c>
      <c r="F4" s="7" t="str">
        <f t="shared" ref="F4:F67" si="3">IF(C4="",1,"")</f>
        <v/>
      </c>
      <c r="G4" s="100" t="str">
        <f t="shared" ref="G4:G67" si="4">IF(F4=1,IF(B3="",G3,B3),"")</f>
        <v/>
      </c>
      <c r="H4" s="100" t="str">
        <f t="shared" ref="H4:H67" si="5">IF(F4=1,IF(C3="",H3,C3),"")</f>
        <v/>
      </c>
      <c r="I4" s="100" t="str">
        <f t="shared" ref="I4:I67" si="6">IF(F4=1,IF(B5="",I5,B5),"")</f>
        <v/>
      </c>
      <c r="J4" s="100" t="str">
        <f t="shared" ref="J4:J67" si="7">IF(F4=1,IF(C5="",J5,C5),"")</f>
        <v/>
      </c>
      <c r="K4" s="102" t="str">
        <f t="shared" ref="K4:K67" si="8">IF(F4=1,utmzone_long(J4),"")</f>
        <v/>
      </c>
      <c r="L4" s="103" t="str">
        <f t="shared" ref="L4:L67" si="9">IF(F4=1,northing(G4,H4),"")</f>
        <v/>
      </c>
      <c r="M4" s="103" t="str">
        <f t="shared" ref="M4:M67" si="10">IF(F4=1,easting(G4,H4),"")</f>
        <v/>
      </c>
      <c r="N4" s="103" t="str">
        <f t="shared" ref="N4:N67" si="11">IF(F4=1,northing(I4,J4),"")</f>
        <v/>
      </c>
      <c r="O4" s="103" t="str">
        <f t="shared" ref="O4:O67" si="12">IF(F4=1,easting(I4,J4),"")</f>
        <v/>
      </c>
      <c r="P4" s="105" t="str">
        <f t="shared" ref="P4:P67" si="13">IF(F4=1,N4-L4,"")</f>
        <v/>
      </c>
      <c r="Q4" s="105" t="str">
        <f t="shared" ref="Q4:Q67" si="14">IF(F4=1,O4-M4,"")</f>
        <v/>
      </c>
      <c r="R4" s="104" t="str">
        <f t="shared" ref="R4:R67" si="15">IF(F4=1,SQRT(ABS(L4-N4)^2+ABS(M4-O4)^2),"")</f>
        <v/>
      </c>
      <c r="S4" s="104" t="str">
        <f t="shared" ref="S4:S67" si="16">IF(F4=1,IF(N4&lt;L4,"S","N") &amp; IF(O4&lt;M4,"W","E"),"")</f>
        <v/>
      </c>
      <c r="T4" s="105" t="str">
        <f t="shared" ref="T4:T67" si="17">IF(F4=1,ABS(ATAN((P4)/Q4)),"")</f>
        <v/>
      </c>
      <c r="U4" s="14" t="str">
        <f t="shared" ref="U4:U67" si="18">IF(F4=1,IF(Q4&lt;0,-1*COS(T4)*E4,COS(T4)*E4),"")</f>
        <v/>
      </c>
      <c r="V4" s="14" t="str">
        <f t="shared" ref="V4:V67" si="19">IF(F4=1,IF(P4&lt;0,-1*SIN(T4)*E4,SIN(T4)*E4),"")</f>
        <v/>
      </c>
      <c r="W4" s="103" t="str">
        <f t="shared" ref="W4:W67" si="20">IF(F4=1,V4+L4,"")</f>
        <v/>
      </c>
      <c r="X4" s="103" t="str">
        <f t="shared" ref="X4:X67" si="21">IF(F4=1,U4+M4,"")</f>
        <v/>
      </c>
      <c r="Y4" s="100" t="str">
        <f t="shared" ref="Y4:Y67" si="22">IF(F4=1,latitude(K4,W4,X4),"")</f>
        <v/>
      </c>
      <c r="Z4" s="100" t="str">
        <f t="shared" ref="Z4:Z67" si="23">IF(F4=1,longitude(K4,W4,X4),"")</f>
        <v/>
      </c>
      <c r="AA4" s="100" t="e">
        <f t="shared" ref="AA4:AA67" si="24">B3-Y4</f>
        <v>#VALUE!</v>
      </c>
      <c r="AB4" s="100" t="e">
        <f t="shared" ref="AB4:AB67" si="25">Y4-B5</f>
        <v>#VALUE!</v>
      </c>
      <c r="AC4" s="100" t="e">
        <f t="shared" ref="AC4:AC67" si="26">C3-Z4</f>
        <v>#VALUE!</v>
      </c>
      <c r="AD4" s="100" t="e">
        <f t="shared" ref="AD4:AD67" si="27">Z4-C5</f>
        <v>#VALUE!</v>
      </c>
      <c r="AE4" s="8" t="str">
        <f t="shared" ref="AE4:AE67" si="28">IF(E4="","",IF(OR(AND(AA4&gt;0,AB4&gt;0),AND(AA4&lt;0,AB4&lt;0)),"Good",""))</f>
        <v/>
      </c>
      <c r="AF4" s="8" t="str">
        <f t="shared" ref="AF4:AF67" si="29">IF(E4="","",IF(OR(AND(AC4&gt;0,AD4&gt;0),AND(AC4&lt;0,AD4&lt;0)),"Good",""))</f>
        <v/>
      </c>
      <c r="AG4" s="7" t="str">
        <f t="shared" ref="AG4:AG67" si="30">IF(F4=1,IF(AND(AE4="Good",AF4="Good"),"Good",""),"Good")</f>
        <v>Good</v>
      </c>
      <c r="AI4" s="100">
        <f t="shared" si="0"/>
        <v>28.928688825999998</v>
      </c>
      <c r="AJ4" s="100">
        <f t="shared" si="1"/>
        <v>47.968297454999998</v>
      </c>
    </row>
    <row r="5" spans="1:36" x14ac:dyDescent="0.2">
      <c r="A5" s="8">
        <v>8.9999999999999993E-3</v>
      </c>
      <c r="B5" s="100">
        <v>28.928674889</v>
      </c>
      <c r="C5" s="100">
        <v>47.968228813000003</v>
      </c>
      <c r="D5" s="101">
        <v>9</v>
      </c>
      <c r="E5" s="42" t="str">
        <f t="shared" si="2"/>
        <v/>
      </c>
      <c r="F5" s="7" t="str">
        <f t="shared" si="3"/>
        <v/>
      </c>
      <c r="G5" s="100" t="str">
        <f t="shared" si="4"/>
        <v/>
      </c>
      <c r="H5" s="100" t="str">
        <f t="shared" si="5"/>
        <v/>
      </c>
      <c r="I5" s="100" t="str">
        <f t="shared" si="6"/>
        <v/>
      </c>
      <c r="J5" s="100" t="str">
        <f t="shared" si="7"/>
        <v/>
      </c>
      <c r="K5" s="102" t="str">
        <f t="shared" si="8"/>
        <v/>
      </c>
      <c r="L5" s="103" t="str">
        <f t="shared" si="9"/>
        <v/>
      </c>
      <c r="M5" s="103" t="str">
        <f t="shared" si="10"/>
        <v/>
      </c>
      <c r="N5" s="103" t="str">
        <f t="shared" si="11"/>
        <v/>
      </c>
      <c r="O5" s="103" t="str">
        <f t="shared" si="12"/>
        <v/>
      </c>
      <c r="P5" s="105" t="str">
        <f t="shared" si="13"/>
        <v/>
      </c>
      <c r="Q5" s="105" t="str">
        <f t="shared" si="14"/>
        <v/>
      </c>
      <c r="R5" s="104" t="str">
        <f t="shared" si="15"/>
        <v/>
      </c>
      <c r="S5" s="104" t="str">
        <f t="shared" si="16"/>
        <v/>
      </c>
      <c r="T5" s="105" t="str">
        <f t="shared" si="17"/>
        <v/>
      </c>
      <c r="U5" s="14" t="str">
        <f t="shared" si="18"/>
        <v/>
      </c>
      <c r="V5" s="14" t="str">
        <f t="shared" si="19"/>
        <v/>
      </c>
      <c r="W5" s="103" t="str">
        <f t="shared" si="20"/>
        <v/>
      </c>
      <c r="X5" s="103" t="str">
        <f t="shared" si="21"/>
        <v/>
      </c>
      <c r="Y5" s="100" t="str">
        <f t="shared" si="22"/>
        <v/>
      </c>
      <c r="Z5" s="100" t="str">
        <f t="shared" si="23"/>
        <v/>
      </c>
      <c r="AA5" s="100" t="e">
        <f t="shared" si="24"/>
        <v>#VALUE!</v>
      </c>
      <c r="AB5" s="100" t="e">
        <f t="shared" si="25"/>
        <v>#VALUE!</v>
      </c>
      <c r="AC5" s="100" t="e">
        <f t="shared" si="26"/>
        <v>#VALUE!</v>
      </c>
      <c r="AD5" s="100" t="e">
        <f t="shared" si="27"/>
        <v>#VALUE!</v>
      </c>
      <c r="AE5" s="8" t="str">
        <f t="shared" si="28"/>
        <v/>
      </c>
      <c r="AF5" s="8" t="str">
        <f t="shared" si="29"/>
        <v/>
      </c>
      <c r="AG5" s="7" t="str">
        <f t="shared" si="30"/>
        <v>Good</v>
      </c>
      <c r="AI5" s="100">
        <f t="shared" si="0"/>
        <v>28.928674889</v>
      </c>
      <c r="AJ5" s="100">
        <f t="shared" si="1"/>
        <v>47.968228813000003</v>
      </c>
    </row>
    <row r="6" spans="1:36" x14ac:dyDescent="0.2">
      <c r="A6" s="8">
        <v>1.9E-2</v>
      </c>
      <c r="B6" s="100">
        <v>28.928636364999999</v>
      </c>
      <c r="C6" s="100">
        <v>47.968137356</v>
      </c>
      <c r="D6" s="101">
        <v>19.223371450341062</v>
      </c>
      <c r="E6" s="42" t="str">
        <f t="shared" si="2"/>
        <v/>
      </c>
      <c r="F6" s="7" t="str">
        <f t="shared" si="3"/>
        <v/>
      </c>
      <c r="G6" s="100" t="str">
        <f t="shared" si="4"/>
        <v/>
      </c>
      <c r="H6" s="100" t="str">
        <f t="shared" si="5"/>
        <v/>
      </c>
      <c r="I6" s="100" t="str">
        <f t="shared" si="6"/>
        <v/>
      </c>
      <c r="J6" s="100" t="str">
        <f t="shared" si="7"/>
        <v/>
      </c>
      <c r="K6" s="102" t="str">
        <f t="shared" si="8"/>
        <v/>
      </c>
      <c r="L6" s="103" t="str">
        <f t="shared" si="9"/>
        <v/>
      </c>
      <c r="M6" s="103" t="str">
        <f t="shared" si="10"/>
        <v/>
      </c>
      <c r="N6" s="103" t="str">
        <f t="shared" si="11"/>
        <v/>
      </c>
      <c r="O6" s="103" t="str">
        <f t="shared" si="12"/>
        <v/>
      </c>
      <c r="P6" s="105" t="str">
        <f t="shared" si="13"/>
        <v/>
      </c>
      <c r="Q6" s="105" t="str">
        <f t="shared" si="14"/>
        <v/>
      </c>
      <c r="R6" s="104" t="str">
        <f t="shared" si="15"/>
        <v/>
      </c>
      <c r="S6" s="104" t="str">
        <f t="shared" si="16"/>
        <v/>
      </c>
      <c r="T6" s="105" t="str">
        <f t="shared" si="17"/>
        <v/>
      </c>
      <c r="U6" s="14" t="str">
        <f t="shared" si="18"/>
        <v/>
      </c>
      <c r="V6" s="14" t="str">
        <f t="shared" si="19"/>
        <v/>
      </c>
      <c r="W6" s="103" t="str">
        <f t="shared" si="20"/>
        <v/>
      </c>
      <c r="X6" s="103" t="str">
        <f t="shared" si="21"/>
        <v/>
      </c>
      <c r="Y6" s="100" t="str">
        <f t="shared" si="22"/>
        <v/>
      </c>
      <c r="Z6" s="100" t="str">
        <f t="shared" si="23"/>
        <v/>
      </c>
      <c r="AA6" s="100" t="e">
        <f t="shared" si="24"/>
        <v>#VALUE!</v>
      </c>
      <c r="AB6" s="100" t="e">
        <f t="shared" si="25"/>
        <v>#VALUE!</v>
      </c>
      <c r="AC6" s="100" t="e">
        <f t="shared" si="26"/>
        <v>#VALUE!</v>
      </c>
      <c r="AD6" s="100" t="e">
        <f t="shared" si="27"/>
        <v>#VALUE!</v>
      </c>
      <c r="AE6" s="8" t="str">
        <f t="shared" si="28"/>
        <v/>
      </c>
      <c r="AF6" s="8" t="str">
        <f t="shared" si="29"/>
        <v/>
      </c>
      <c r="AG6" s="7" t="str">
        <f t="shared" si="30"/>
        <v>Good</v>
      </c>
      <c r="AI6" s="100">
        <f t="shared" si="0"/>
        <v>28.928636364999999</v>
      </c>
      <c r="AJ6" s="100">
        <f t="shared" si="1"/>
        <v>47.968137356</v>
      </c>
    </row>
    <row r="7" spans="1:36" x14ac:dyDescent="0.2">
      <c r="A7" s="8">
        <v>0.02</v>
      </c>
      <c r="B7" s="100">
        <v>28.928634493000001</v>
      </c>
      <c r="C7" s="100">
        <v>47.968128579000002</v>
      </c>
      <c r="D7" s="101">
        <v>20</v>
      </c>
      <c r="E7" s="42" t="str">
        <f t="shared" si="2"/>
        <v/>
      </c>
      <c r="F7" s="7" t="str">
        <f t="shared" si="3"/>
        <v/>
      </c>
      <c r="G7" s="100" t="str">
        <f t="shared" si="4"/>
        <v/>
      </c>
      <c r="H7" s="100" t="str">
        <f t="shared" si="5"/>
        <v/>
      </c>
      <c r="I7" s="100" t="str">
        <f t="shared" si="6"/>
        <v/>
      </c>
      <c r="J7" s="100" t="str">
        <f t="shared" si="7"/>
        <v/>
      </c>
      <c r="K7" s="102" t="str">
        <f t="shared" si="8"/>
        <v/>
      </c>
      <c r="L7" s="103" t="str">
        <f t="shared" si="9"/>
        <v/>
      </c>
      <c r="M7" s="103" t="str">
        <f t="shared" si="10"/>
        <v/>
      </c>
      <c r="N7" s="103" t="str">
        <f t="shared" si="11"/>
        <v/>
      </c>
      <c r="O7" s="103" t="str">
        <f t="shared" si="12"/>
        <v/>
      </c>
      <c r="P7" s="105" t="str">
        <f t="shared" si="13"/>
        <v/>
      </c>
      <c r="Q7" s="105" t="str">
        <f t="shared" si="14"/>
        <v/>
      </c>
      <c r="R7" s="104" t="str">
        <f t="shared" si="15"/>
        <v/>
      </c>
      <c r="S7" s="104" t="str">
        <f t="shared" si="16"/>
        <v/>
      </c>
      <c r="T7" s="105" t="str">
        <f t="shared" si="17"/>
        <v/>
      </c>
      <c r="U7" s="14" t="str">
        <f t="shared" si="18"/>
        <v/>
      </c>
      <c r="V7" s="14" t="str">
        <f t="shared" si="19"/>
        <v/>
      </c>
      <c r="W7" s="103" t="str">
        <f t="shared" si="20"/>
        <v/>
      </c>
      <c r="X7" s="103" t="str">
        <f t="shared" si="21"/>
        <v/>
      </c>
      <c r="Y7" s="100" t="str">
        <f t="shared" si="22"/>
        <v/>
      </c>
      <c r="Z7" s="100" t="str">
        <f t="shared" si="23"/>
        <v/>
      </c>
      <c r="AA7" s="100" t="e">
        <f t="shared" si="24"/>
        <v>#VALUE!</v>
      </c>
      <c r="AB7" s="100" t="e">
        <f t="shared" si="25"/>
        <v>#VALUE!</v>
      </c>
      <c r="AC7" s="100" t="e">
        <f t="shared" si="26"/>
        <v>#VALUE!</v>
      </c>
      <c r="AD7" s="100" t="e">
        <f t="shared" si="27"/>
        <v>#VALUE!</v>
      </c>
      <c r="AE7" s="8" t="str">
        <f t="shared" si="28"/>
        <v/>
      </c>
      <c r="AF7" s="8" t="str">
        <f t="shared" si="29"/>
        <v/>
      </c>
      <c r="AG7" s="7" t="str">
        <f t="shared" si="30"/>
        <v>Good</v>
      </c>
      <c r="AI7" s="100">
        <f t="shared" si="0"/>
        <v>28.928634493000001</v>
      </c>
      <c r="AJ7" s="100">
        <f t="shared" si="1"/>
        <v>47.968128579000002</v>
      </c>
    </row>
    <row r="8" spans="1:36" x14ac:dyDescent="0.2">
      <c r="A8" s="8">
        <v>2.1000000000000001E-2</v>
      </c>
      <c r="B8" s="100">
        <v>28.928630741999999</v>
      </c>
      <c r="C8" s="100">
        <v>47.968117921000001</v>
      </c>
      <c r="D8" s="101">
        <v>21.217652912199316</v>
      </c>
      <c r="E8" s="42" t="str">
        <f t="shared" si="2"/>
        <v/>
      </c>
      <c r="F8" s="7" t="str">
        <f t="shared" si="3"/>
        <v/>
      </c>
      <c r="G8" s="100" t="str">
        <f t="shared" si="4"/>
        <v/>
      </c>
      <c r="H8" s="100" t="str">
        <f t="shared" si="5"/>
        <v/>
      </c>
      <c r="I8" s="100" t="str">
        <f t="shared" si="6"/>
        <v/>
      </c>
      <c r="J8" s="100" t="str">
        <f t="shared" si="7"/>
        <v/>
      </c>
      <c r="K8" s="102" t="str">
        <f t="shared" si="8"/>
        <v/>
      </c>
      <c r="L8" s="103" t="str">
        <f t="shared" si="9"/>
        <v/>
      </c>
      <c r="M8" s="103" t="str">
        <f t="shared" si="10"/>
        <v/>
      </c>
      <c r="N8" s="103" t="str">
        <f t="shared" si="11"/>
        <v/>
      </c>
      <c r="O8" s="103" t="str">
        <f t="shared" si="12"/>
        <v/>
      </c>
      <c r="P8" s="105" t="str">
        <f t="shared" si="13"/>
        <v/>
      </c>
      <c r="Q8" s="105" t="str">
        <f t="shared" si="14"/>
        <v/>
      </c>
      <c r="R8" s="104" t="str">
        <f t="shared" si="15"/>
        <v/>
      </c>
      <c r="S8" s="104" t="str">
        <f t="shared" si="16"/>
        <v/>
      </c>
      <c r="T8" s="105" t="str">
        <f t="shared" si="17"/>
        <v/>
      </c>
      <c r="U8" s="14" t="str">
        <f t="shared" si="18"/>
        <v/>
      </c>
      <c r="V8" s="14" t="str">
        <f t="shared" si="19"/>
        <v/>
      </c>
      <c r="W8" s="103" t="str">
        <f t="shared" si="20"/>
        <v/>
      </c>
      <c r="X8" s="103" t="str">
        <f t="shared" si="21"/>
        <v/>
      </c>
      <c r="Y8" s="100" t="str">
        <f t="shared" si="22"/>
        <v/>
      </c>
      <c r="Z8" s="100" t="str">
        <f t="shared" si="23"/>
        <v/>
      </c>
      <c r="AA8" s="100" t="e">
        <f t="shared" si="24"/>
        <v>#VALUE!</v>
      </c>
      <c r="AB8" s="100" t="e">
        <f t="shared" si="25"/>
        <v>#VALUE!</v>
      </c>
      <c r="AC8" s="100" t="e">
        <f t="shared" si="26"/>
        <v>#VALUE!</v>
      </c>
      <c r="AD8" s="100" t="e">
        <f t="shared" si="27"/>
        <v>#VALUE!</v>
      </c>
      <c r="AE8" s="8" t="str">
        <f t="shared" si="28"/>
        <v/>
      </c>
      <c r="AF8" s="8" t="str">
        <f t="shared" si="29"/>
        <v/>
      </c>
      <c r="AG8" s="7" t="str">
        <f t="shared" si="30"/>
        <v>Good</v>
      </c>
      <c r="AI8" s="100">
        <f t="shared" si="0"/>
        <v>28.928630741999999</v>
      </c>
      <c r="AJ8" s="100">
        <f t="shared" si="1"/>
        <v>47.968117921000001</v>
      </c>
    </row>
    <row r="9" spans="1:36" x14ac:dyDescent="0.2">
      <c r="A9" s="8">
        <v>2.8000000000000001E-2</v>
      </c>
      <c r="B9" s="100">
        <v>28.928609220999999</v>
      </c>
      <c r="C9" s="100">
        <v>47.968056765</v>
      </c>
      <c r="D9" s="101">
        <v>27.627598252941503</v>
      </c>
      <c r="E9" s="42" t="str">
        <f t="shared" si="2"/>
        <v/>
      </c>
      <c r="F9" s="7" t="str">
        <f t="shared" si="3"/>
        <v/>
      </c>
      <c r="G9" s="100" t="str">
        <f t="shared" si="4"/>
        <v/>
      </c>
      <c r="H9" s="100" t="str">
        <f t="shared" si="5"/>
        <v/>
      </c>
      <c r="I9" s="100" t="str">
        <f t="shared" si="6"/>
        <v/>
      </c>
      <c r="J9" s="100" t="str">
        <f t="shared" si="7"/>
        <v/>
      </c>
      <c r="K9" s="102" t="str">
        <f t="shared" si="8"/>
        <v/>
      </c>
      <c r="L9" s="103" t="str">
        <f t="shared" si="9"/>
        <v/>
      </c>
      <c r="M9" s="103" t="str">
        <f t="shared" si="10"/>
        <v/>
      </c>
      <c r="N9" s="103" t="str">
        <f t="shared" si="11"/>
        <v/>
      </c>
      <c r="O9" s="103" t="str">
        <f t="shared" si="12"/>
        <v/>
      </c>
      <c r="P9" s="105" t="str">
        <f t="shared" si="13"/>
        <v/>
      </c>
      <c r="Q9" s="105" t="str">
        <f t="shared" si="14"/>
        <v/>
      </c>
      <c r="R9" s="104" t="str">
        <f t="shared" si="15"/>
        <v/>
      </c>
      <c r="S9" s="104" t="str">
        <f t="shared" si="16"/>
        <v/>
      </c>
      <c r="T9" s="105" t="str">
        <f t="shared" si="17"/>
        <v/>
      </c>
      <c r="U9" s="14" t="str">
        <f t="shared" si="18"/>
        <v/>
      </c>
      <c r="V9" s="14" t="str">
        <f t="shared" si="19"/>
        <v/>
      </c>
      <c r="W9" s="103" t="str">
        <f t="shared" si="20"/>
        <v/>
      </c>
      <c r="X9" s="103" t="str">
        <f t="shared" si="21"/>
        <v/>
      </c>
      <c r="Y9" s="100" t="str">
        <f t="shared" si="22"/>
        <v/>
      </c>
      <c r="Z9" s="100" t="str">
        <f t="shared" si="23"/>
        <v/>
      </c>
      <c r="AA9" s="100" t="e">
        <f t="shared" si="24"/>
        <v>#VALUE!</v>
      </c>
      <c r="AB9" s="100" t="e">
        <f t="shared" si="25"/>
        <v>#VALUE!</v>
      </c>
      <c r="AC9" s="100" t="e">
        <f t="shared" si="26"/>
        <v>#VALUE!</v>
      </c>
      <c r="AD9" s="100" t="e">
        <f t="shared" si="27"/>
        <v>#VALUE!</v>
      </c>
      <c r="AE9" s="8" t="str">
        <f t="shared" si="28"/>
        <v/>
      </c>
      <c r="AF9" s="8" t="str">
        <f t="shared" si="29"/>
        <v/>
      </c>
      <c r="AG9" s="7" t="str">
        <f t="shared" si="30"/>
        <v>Good</v>
      </c>
      <c r="AI9" s="100">
        <f t="shared" si="0"/>
        <v>28.928609220999999</v>
      </c>
      <c r="AJ9" s="100">
        <f t="shared" si="1"/>
        <v>47.968056765</v>
      </c>
    </row>
    <row r="10" spans="1:36" x14ac:dyDescent="0.2">
      <c r="A10" s="8">
        <v>2.9000000000000001E-2</v>
      </c>
      <c r="B10" s="100">
        <v>28.928602999999999</v>
      </c>
      <c r="C10" s="100">
        <v>47.968044999999996</v>
      </c>
      <c r="D10" s="101">
        <v>29</v>
      </c>
      <c r="E10" s="42" t="str">
        <f t="shared" si="2"/>
        <v/>
      </c>
      <c r="F10" s="7" t="str">
        <f t="shared" si="3"/>
        <v/>
      </c>
      <c r="G10" s="100" t="str">
        <f t="shared" si="4"/>
        <v/>
      </c>
      <c r="H10" s="100" t="str">
        <f t="shared" si="5"/>
        <v/>
      </c>
      <c r="I10" s="100" t="str">
        <f t="shared" si="6"/>
        <v/>
      </c>
      <c r="J10" s="100" t="str">
        <f t="shared" si="7"/>
        <v/>
      </c>
      <c r="K10" s="102" t="str">
        <f t="shared" si="8"/>
        <v/>
      </c>
      <c r="L10" s="103" t="str">
        <f t="shared" si="9"/>
        <v/>
      </c>
      <c r="M10" s="103" t="str">
        <f t="shared" si="10"/>
        <v/>
      </c>
      <c r="N10" s="103" t="str">
        <f t="shared" si="11"/>
        <v/>
      </c>
      <c r="O10" s="103" t="str">
        <f t="shared" si="12"/>
        <v/>
      </c>
      <c r="P10" s="105" t="str">
        <f t="shared" si="13"/>
        <v/>
      </c>
      <c r="Q10" s="105" t="str">
        <f t="shared" si="14"/>
        <v/>
      </c>
      <c r="R10" s="104" t="str">
        <f t="shared" si="15"/>
        <v/>
      </c>
      <c r="S10" s="104" t="str">
        <f t="shared" si="16"/>
        <v/>
      </c>
      <c r="T10" s="105" t="str">
        <f t="shared" si="17"/>
        <v/>
      </c>
      <c r="U10" s="14" t="str">
        <f t="shared" si="18"/>
        <v/>
      </c>
      <c r="V10" s="14" t="str">
        <f t="shared" si="19"/>
        <v/>
      </c>
      <c r="W10" s="103" t="str">
        <f t="shared" si="20"/>
        <v/>
      </c>
      <c r="X10" s="103" t="str">
        <f t="shared" si="21"/>
        <v/>
      </c>
      <c r="Y10" s="100" t="str">
        <f t="shared" si="22"/>
        <v/>
      </c>
      <c r="Z10" s="100" t="str">
        <f t="shared" si="23"/>
        <v/>
      </c>
      <c r="AA10" s="100" t="e">
        <f t="shared" si="24"/>
        <v>#VALUE!</v>
      </c>
      <c r="AB10" s="100" t="e">
        <f t="shared" si="25"/>
        <v>#VALUE!</v>
      </c>
      <c r="AC10" s="100" t="e">
        <f t="shared" si="26"/>
        <v>#VALUE!</v>
      </c>
      <c r="AD10" s="100" t="e">
        <f t="shared" si="27"/>
        <v>#VALUE!</v>
      </c>
      <c r="AE10" s="8" t="str">
        <f t="shared" si="28"/>
        <v/>
      </c>
      <c r="AF10" s="8" t="str">
        <f t="shared" si="29"/>
        <v/>
      </c>
      <c r="AG10" s="7" t="str">
        <f t="shared" si="30"/>
        <v>Good</v>
      </c>
      <c r="AI10" s="100">
        <f t="shared" si="0"/>
        <v>28.928602999999999</v>
      </c>
      <c r="AJ10" s="100">
        <f t="shared" si="1"/>
        <v>47.968044999999996</v>
      </c>
    </row>
    <row r="11" spans="1:36" x14ac:dyDescent="0.2">
      <c r="A11" s="8">
        <v>0.03</v>
      </c>
      <c r="B11" s="100">
        <v>28.928598672</v>
      </c>
      <c r="C11" s="100">
        <v>47.968036884</v>
      </c>
      <c r="D11" s="101">
        <v>29.88863751158117</v>
      </c>
      <c r="E11" s="42" t="str">
        <f t="shared" si="2"/>
        <v/>
      </c>
      <c r="F11" s="7" t="str">
        <f t="shared" si="3"/>
        <v/>
      </c>
      <c r="G11" s="100" t="str">
        <f t="shared" si="4"/>
        <v/>
      </c>
      <c r="H11" s="100" t="str">
        <f t="shared" si="5"/>
        <v/>
      </c>
      <c r="I11" s="100" t="str">
        <f t="shared" si="6"/>
        <v/>
      </c>
      <c r="J11" s="100" t="str">
        <f t="shared" si="7"/>
        <v/>
      </c>
      <c r="K11" s="102" t="str">
        <f t="shared" si="8"/>
        <v/>
      </c>
      <c r="L11" s="103" t="str">
        <f t="shared" si="9"/>
        <v/>
      </c>
      <c r="M11" s="103" t="str">
        <f t="shared" si="10"/>
        <v/>
      </c>
      <c r="N11" s="103" t="str">
        <f t="shared" si="11"/>
        <v/>
      </c>
      <c r="O11" s="103" t="str">
        <f t="shared" si="12"/>
        <v/>
      </c>
      <c r="P11" s="105" t="str">
        <f t="shared" si="13"/>
        <v/>
      </c>
      <c r="Q11" s="105" t="str">
        <f t="shared" si="14"/>
        <v/>
      </c>
      <c r="R11" s="104" t="str">
        <f t="shared" si="15"/>
        <v/>
      </c>
      <c r="S11" s="104" t="str">
        <f t="shared" si="16"/>
        <v/>
      </c>
      <c r="T11" s="105" t="str">
        <f t="shared" si="17"/>
        <v/>
      </c>
      <c r="U11" s="14" t="str">
        <f t="shared" si="18"/>
        <v/>
      </c>
      <c r="V11" s="14" t="str">
        <f t="shared" si="19"/>
        <v/>
      </c>
      <c r="W11" s="103" t="str">
        <f t="shared" si="20"/>
        <v/>
      </c>
      <c r="X11" s="103" t="str">
        <f t="shared" si="21"/>
        <v/>
      </c>
      <c r="Y11" s="100" t="str">
        <f t="shared" si="22"/>
        <v/>
      </c>
      <c r="Z11" s="100" t="str">
        <f t="shared" si="23"/>
        <v/>
      </c>
      <c r="AA11" s="100" t="e">
        <f t="shared" si="24"/>
        <v>#VALUE!</v>
      </c>
      <c r="AB11" s="100" t="e">
        <f t="shared" si="25"/>
        <v>#VALUE!</v>
      </c>
      <c r="AC11" s="100" t="e">
        <f t="shared" si="26"/>
        <v>#VALUE!</v>
      </c>
      <c r="AD11" s="100" t="e">
        <f t="shared" si="27"/>
        <v>#VALUE!</v>
      </c>
      <c r="AE11" s="8" t="str">
        <f t="shared" si="28"/>
        <v/>
      </c>
      <c r="AF11" s="8" t="str">
        <f t="shared" si="29"/>
        <v/>
      </c>
      <c r="AG11" s="7" t="str">
        <f t="shared" si="30"/>
        <v>Good</v>
      </c>
      <c r="AI11" s="100">
        <f t="shared" si="0"/>
        <v>28.928598672</v>
      </c>
      <c r="AJ11" s="100">
        <f t="shared" si="1"/>
        <v>47.968036884</v>
      </c>
    </row>
    <row r="12" spans="1:36" x14ac:dyDescent="0.2">
      <c r="A12" s="8">
        <v>3.3000000000000002E-2</v>
      </c>
      <c r="D12" s="101">
        <v>33</v>
      </c>
      <c r="E12" s="42">
        <f t="shared" si="2"/>
        <v>3.1113624884188305</v>
      </c>
      <c r="F12" s="7">
        <f t="shared" si="3"/>
        <v>1</v>
      </c>
      <c r="G12" s="100">
        <f t="shared" si="4"/>
        <v>28.928598672</v>
      </c>
      <c r="H12" s="100">
        <f t="shared" si="5"/>
        <v>47.968036884</v>
      </c>
      <c r="I12" s="100">
        <f t="shared" si="6"/>
        <v>28.928581356999999</v>
      </c>
      <c r="J12" s="100">
        <f t="shared" si="7"/>
        <v>47.967985292999998</v>
      </c>
      <c r="K12" s="102">
        <f t="shared" si="8"/>
        <v>38</v>
      </c>
      <c r="L12" s="103">
        <f t="shared" si="9"/>
        <v>3203702.3492160547</v>
      </c>
      <c r="M12" s="103">
        <f t="shared" si="10"/>
        <v>789354.37897533202</v>
      </c>
      <c r="N12" s="103">
        <f t="shared" si="11"/>
        <v>3203700.3032994871</v>
      </c>
      <c r="O12" s="103">
        <f t="shared" si="12"/>
        <v>789349.39509647654</v>
      </c>
      <c r="P12" s="105">
        <f t="shared" si="13"/>
        <v>-2.04591656755656</v>
      </c>
      <c r="Q12" s="105">
        <f t="shared" si="14"/>
        <v>-4.9838788554770872</v>
      </c>
      <c r="R12" s="104">
        <f t="shared" si="15"/>
        <v>5.3874690762429456</v>
      </c>
      <c r="S12" s="104" t="str">
        <f t="shared" si="16"/>
        <v>SW</v>
      </c>
      <c r="T12" s="105">
        <f t="shared" si="17"/>
        <v>0.38953109071416353</v>
      </c>
      <c r="U12" s="14">
        <f t="shared" si="18"/>
        <v>-2.8782817123043318</v>
      </c>
      <c r="V12" s="14">
        <f t="shared" si="19"/>
        <v>-1.1815544502705999</v>
      </c>
      <c r="W12" s="103">
        <f t="shared" si="20"/>
        <v>3203701.1676616045</v>
      </c>
      <c r="X12" s="103">
        <f t="shared" si="21"/>
        <v>789351.50069361972</v>
      </c>
      <c r="Y12" s="100">
        <f t="shared" si="22"/>
        <v>28.928588651252745</v>
      </c>
      <c r="Z12" s="100">
        <f t="shared" si="23"/>
        <v>47.968007091130843</v>
      </c>
      <c r="AA12" s="100">
        <f t="shared" si="24"/>
        <v>1.0020747254202433E-5</v>
      </c>
      <c r="AB12" s="100">
        <f t="shared" si="25"/>
        <v>7.2942527467034779E-6</v>
      </c>
      <c r="AC12" s="100">
        <f t="shared" si="26"/>
        <v>2.9792869156608504E-5</v>
      </c>
      <c r="AD12" s="100">
        <f t="shared" si="27"/>
        <v>2.1798130845240848E-5</v>
      </c>
      <c r="AE12" s="8" t="str">
        <f t="shared" si="28"/>
        <v>Good</v>
      </c>
      <c r="AF12" s="8" t="str">
        <f t="shared" si="29"/>
        <v>Good</v>
      </c>
      <c r="AG12" s="7" t="str">
        <f t="shared" si="30"/>
        <v>Good</v>
      </c>
      <c r="AI12" s="100">
        <f t="shared" si="0"/>
        <v>28.928588651252745</v>
      </c>
      <c r="AJ12" s="100">
        <f t="shared" si="1"/>
        <v>47.968007091130843</v>
      </c>
    </row>
    <row r="13" spans="1:36" x14ac:dyDescent="0.2">
      <c r="A13" s="8">
        <v>3.5000000000000003E-2</v>
      </c>
      <c r="B13" s="100">
        <v>28.928581356999999</v>
      </c>
      <c r="C13" s="100">
        <v>47.967985292999998</v>
      </c>
      <c r="D13" s="101">
        <v>35.262899003909446</v>
      </c>
      <c r="E13" s="42" t="str">
        <f t="shared" si="2"/>
        <v/>
      </c>
      <c r="F13" s="7" t="str">
        <f t="shared" si="3"/>
        <v/>
      </c>
      <c r="G13" s="100" t="str">
        <f t="shared" si="4"/>
        <v/>
      </c>
      <c r="H13" s="100" t="str">
        <f t="shared" si="5"/>
        <v/>
      </c>
      <c r="I13" s="100" t="str">
        <f t="shared" si="6"/>
        <v/>
      </c>
      <c r="J13" s="100" t="str">
        <f t="shared" si="7"/>
        <v/>
      </c>
      <c r="K13" s="102" t="str">
        <f t="shared" si="8"/>
        <v/>
      </c>
      <c r="L13" s="103" t="str">
        <f t="shared" si="9"/>
        <v/>
      </c>
      <c r="M13" s="103" t="str">
        <f t="shared" si="10"/>
        <v/>
      </c>
      <c r="N13" s="103" t="str">
        <f t="shared" si="11"/>
        <v/>
      </c>
      <c r="O13" s="103" t="str">
        <f t="shared" si="12"/>
        <v/>
      </c>
      <c r="P13" s="105" t="str">
        <f t="shared" si="13"/>
        <v/>
      </c>
      <c r="Q13" s="105" t="str">
        <f t="shared" si="14"/>
        <v/>
      </c>
      <c r="R13" s="104" t="str">
        <f t="shared" si="15"/>
        <v/>
      </c>
      <c r="S13" s="104" t="str">
        <f t="shared" si="16"/>
        <v/>
      </c>
      <c r="T13" s="105" t="str">
        <f t="shared" si="17"/>
        <v/>
      </c>
      <c r="U13" s="14" t="str">
        <f t="shared" si="18"/>
        <v/>
      </c>
      <c r="V13" s="14" t="str">
        <f t="shared" si="19"/>
        <v/>
      </c>
      <c r="W13" s="103" t="str">
        <f t="shared" si="20"/>
        <v/>
      </c>
      <c r="X13" s="103" t="str">
        <f t="shared" si="21"/>
        <v/>
      </c>
      <c r="Y13" s="100" t="str">
        <f t="shared" si="22"/>
        <v/>
      </c>
      <c r="Z13" s="100" t="str">
        <f t="shared" si="23"/>
        <v/>
      </c>
      <c r="AA13" s="100" t="e">
        <f t="shared" si="24"/>
        <v>#VALUE!</v>
      </c>
      <c r="AB13" s="100" t="e">
        <f t="shared" si="25"/>
        <v>#VALUE!</v>
      </c>
      <c r="AC13" s="100" t="e">
        <f t="shared" si="26"/>
        <v>#VALUE!</v>
      </c>
      <c r="AD13" s="100" t="e">
        <f t="shared" si="27"/>
        <v>#VALUE!</v>
      </c>
      <c r="AE13" s="8" t="str">
        <f t="shared" si="28"/>
        <v/>
      </c>
      <c r="AF13" s="8" t="str">
        <f t="shared" si="29"/>
        <v/>
      </c>
      <c r="AG13" s="7" t="str">
        <f t="shared" si="30"/>
        <v>Good</v>
      </c>
      <c r="AI13" s="100">
        <f t="shared" si="0"/>
        <v>28.928581356999999</v>
      </c>
      <c r="AJ13" s="100">
        <f t="shared" si="1"/>
        <v>47.967985292999998</v>
      </c>
    </row>
    <row r="14" spans="1:36" x14ac:dyDescent="0.2">
      <c r="A14" s="8">
        <v>3.7999999999999999E-2</v>
      </c>
      <c r="D14" s="101">
        <v>38</v>
      </c>
      <c r="E14" s="42">
        <f t="shared" si="2"/>
        <v>2.7371009960905539</v>
      </c>
      <c r="F14" s="7">
        <f t="shared" si="3"/>
        <v>1</v>
      </c>
      <c r="G14" s="100">
        <f t="shared" si="4"/>
        <v>28.928581356999999</v>
      </c>
      <c r="H14" s="100">
        <f t="shared" si="5"/>
        <v>47.967985292999998</v>
      </c>
      <c r="I14" s="100">
        <f t="shared" si="6"/>
        <v>28.928543694999998</v>
      </c>
      <c r="J14" s="100">
        <f t="shared" si="7"/>
        <v>47.967957783999999</v>
      </c>
      <c r="K14" s="102">
        <f t="shared" si="8"/>
        <v>38</v>
      </c>
      <c r="L14" s="103">
        <f t="shared" si="9"/>
        <v>3203700.3032994871</v>
      </c>
      <c r="M14" s="103">
        <f t="shared" si="10"/>
        <v>789349.39509647654</v>
      </c>
      <c r="N14" s="103">
        <f t="shared" si="11"/>
        <v>3203696.0604240634</v>
      </c>
      <c r="O14" s="103">
        <f t="shared" si="12"/>
        <v>789346.81667623611</v>
      </c>
      <c r="P14" s="105">
        <f t="shared" si="13"/>
        <v>-4.2428754237480462</v>
      </c>
      <c r="Q14" s="105">
        <f t="shared" si="14"/>
        <v>-2.578420240432024</v>
      </c>
      <c r="R14" s="104">
        <f t="shared" si="15"/>
        <v>4.9649010863978651</v>
      </c>
      <c r="S14" s="104" t="str">
        <f t="shared" si="16"/>
        <v>SW</v>
      </c>
      <c r="T14" s="105">
        <f t="shared" si="17"/>
        <v>1.0247300134530093</v>
      </c>
      <c r="U14" s="14">
        <f t="shared" si="18"/>
        <v>-1.4214576455030286</v>
      </c>
      <c r="V14" s="14">
        <f t="shared" si="19"/>
        <v>-2.3390553701956027</v>
      </c>
      <c r="W14" s="103">
        <f t="shared" si="20"/>
        <v>3203697.964244117</v>
      </c>
      <c r="X14" s="103">
        <f t="shared" si="21"/>
        <v>789347.97363883106</v>
      </c>
      <c r="Y14" s="100">
        <f t="shared" si="22"/>
        <v>28.928560573291936</v>
      </c>
      <c r="Z14" s="100">
        <f t="shared" si="23"/>
        <v>47.967970129441049</v>
      </c>
      <c r="AA14" s="100">
        <f t="shared" si="24"/>
        <v>2.0783708063021322E-5</v>
      </c>
      <c r="AB14" s="100">
        <f t="shared" si="25"/>
        <v>1.6878291937416634E-5</v>
      </c>
      <c r="AC14" s="100">
        <f t="shared" si="26"/>
        <v>1.5163558948927403E-5</v>
      </c>
      <c r="AD14" s="100">
        <f t="shared" si="27"/>
        <v>1.2345441049887995E-5</v>
      </c>
      <c r="AE14" s="8" t="str">
        <f t="shared" si="28"/>
        <v>Good</v>
      </c>
      <c r="AF14" s="8" t="str">
        <f t="shared" si="29"/>
        <v>Good</v>
      </c>
      <c r="AG14" s="7" t="str">
        <f t="shared" si="30"/>
        <v>Good</v>
      </c>
      <c r="AI14" s="100">
        <f t="shared" si="0"/>
        <v>28.928560573291936</v>
      </c>
      <c r="AJ14" s="100">
        <f t="shared" si="1"/>
        <v>47.967970129441049</v>
      </c>
    </row>
    <row r="15" spans="1:36" x14ac:dyDescent="0.2">
      <c r="A15" s="8">
        <v>0.04</v>
      </c>
      <c r="B15" s="100">
        <v>28.928543694999998</v>
      </c>
      <c r="C15" s="100">
        <v>47.967957783999999</v>
      </c>
      <c r="D15" s="101">
        <v>40.229833734305181</v>
      </c>
      <c r="E15" s="42" t="str">
        <f t="shared" si="2"/>
        <v/>
      </c>
      <c r="F15" s="7" t="str">
        <f t="shared" si="3"/>
        <v/>
      </c>
      <c r="G15" s="100" t="str">
        <f t="shared" si="4"/>
        <v/>
      </c>
      <c r="H15" s="100" t="str">
        <f t="shared" si="5"/>
        <v/>
      </c>
      <c r="I15" s="100" t="str">
        <f t="shared" si="6"/>
        <v/>
      </c>
      <c r="J15" s="100" t="str">
        <f t="shared" si="7"/>
        <v/>
      </c>
      <c r="K15" s="102" t="str">
        <f t="shared" si="8"/>
        <v/>
      </c>
      <c r="L15" s="103" t="str">
        <f t="shared" si="9"/>
        <v/>
      </c>
      <c r="M15" s="103" t="str">
        <f t="shared" si="10"/>
        <v/>
      </c>
      <c r="N15" s="103" t="str">
        <f t="shared" si="11"/>
        <v/>
      </c>
      <c r="O15" s="103" t="str">
        <f t="shared" si="12"/>
        <v/>
      </c>
      <c r="P15" s="105" t="str">
        <f t="shared" si="13"/>
        <v/>
      </c>
      <c r="Q15" s="105" t="str">
        <f t="shared" si="14"/>
        <v/>
      </c>
      <c r="R15" s="104" t="str">
        <f t="shared" si="15"/>
        <v/>
      </c>
      <c r="S15" s="104" t="str">
        <f t="shared" si="16"/>
        <v/>
      </c>
      <c r="T15" s="105" t="str">
        <f t="shared" si="17"/>
        <v/>
      </c>
      <c r="U15" s="14" t="str">
        <f t="shared" si="18"/>
        <v/>
      </c>
      <c r="V15" s="14" t="str">
        <f t="shared" si="19"/>
        <v/>
      </c>
      <c r="W15" s="103" t="str">
        <f t="shared" si="20"/>
        <v/>
      </c>
      <c r="X15" s="103" t="str">
        <f t="shared" si="21"/>
        <v/>
      </c>
      <c r="Y15" s="100" t="str">
        <f t="shared" si="22"/>
        <v/>
      </c>
      <c r="Z15" s="100" t="str">
        <f t="shared" si="23"/>
        <v/>
      </c>
      <c r="AA15" s="100" t="e">
        <f t="shared" si="24"/>
        <v>#VALUE!</v>
      </c>
      <c r="AB15" s="100" t="e">
        <f t="shared" si="25"/>
        <v>#VALUE!</v>
      </c>
      <c r="AC15" s="100" t="e">
        <f t="shared" si="26"/>
        <v>#VALUE!</v>
      </c>
      <c r="AD15" s="100" t="e">
        <f t="shared" si="27"/>
        <v>#VALUE!</v>
      </c>
      <c r="AE15" s="8" t="str">
        <f t="shared" si="28"/>
        <v/>
      </c>
      <c r="AF15" s="8" t="str">
        <f t="shared" si="29"/>
        <v/>
      </c>
      <c r="AG15" s="7" t="str">
        <f t="shared" si="30"/>
        <v>Good</v>
      </c>
      <c r="AI15" s="100">
        <f t="shared" si="0"/>
        <v>28.928543694999998</v>
      </c>
      <c r="AJ15" s="100">
        <f t="shared" si="1"/>
        <v>47.967957783999999</v>
      </c>
    </row>
    <row r="16" spans="1:36" x14ac:dyDescent="0.2">
      <c r="A16" s="8">
        <v>4.5999999999999999E-2</v>
      </c>
      <c r="B16" s="100">
        <v>28.928550245</v>
      </c>
      <c r="C16" s="100">
        <v>47.967895188</v>
      </c>
      <c r="D16" s="101">
        <v>46.360591829926875</v>
      </c>
      <c r="E16" s="42" t="str">
        <f t="shared" si="2"/>
        <v/>
      </c>
      <c r="F16" s="7" t="str">
        <f t="shared" si="3"/>
        <v/>
      </c>
      <c r="G16" s="100" t="str">
        <f t="shared" si="4"/>
        <v/>
      </c>
      <c r="H16" s="100" t="str">
        <f t="shared" si="5"/>
        <v/>
      </c>
      <c r="I16" s="100" t="str">
        <f t="shared" si="6"/>
        <v/>
      </c>
      <c r="J16" s="100" t="str">
        <f t="shared" si="7"/>
        <v/>
      </c>
      <c r="K16" s="102" t="str">
        <f t="shared" si="8"/>
        <v/>
      </c>
      <c r="L16" s="103" t="str">
        <f t="shared" si="9"/>
        <v/>
      </c>
      <c r="M16" s="103" t="str">
        <f t="shared" si="10"/>
        <v/>
      </c>
      <c r="N16" s="103" t="str">
        <f t="shared" si="11"/>
        <v/>
      </c>
      <c r="O16" s="103" t="str">
        <f t="shared" si="12"/>
        <v/>
      </c>
      <c r="P16" s="105" t="str">
        <f t="shared" si="13"/>
        <v/>
      </c>
      <c r="Q16" s="105" t="str">
        <f t="shared" si="14"/>
        <v/>
      </c>
      <c r="R16" s="104" t="str">
        <f t="shared" si="15"/>
        <v/>
      </c>
      <c r="S16" s="104" t="str">
        <f t="shared" si="16"/>
        <v/>
      </c>
      <c r="T16" s="105" t="str">
        <f t="shared" si="17"/>
        <v/>
      </c>
      <c r="U16" s="14" t="str">
        <f t="shared" si="18"/>
        <v/>
      </c>
      <c r="V16" s="14" t="str">
        <f t="shared" si="19"/>
        <v/>
      </c>
      <c r="W16" s="103" t="str">
        <f t="shared" si="20"/>
        <v/>
      </c>
      <c r="X16" s="103" t="str">
        <f t="shared" si="21"/>
        <v/>
      </c>
      <c r="Y16" s="100" t="str">
        <f t="shared" si="22"/>
        <v/>
      </c>
      <c r="Z16" s="100" t="str">
        <f t="shared" si="23"/>
        <v/>
      </c>
      <c r="AA16" s="100" t="e">
        <f t="shared" si="24"/>
        <v>#VALUE!</v>
      </c>
      <c r="AB16" s="100" t="e">
        <f t="shared" si="25"/>
        <v>#VALUE!</v>
      </c>
      <c r="AC16" s="100" t="e">
        <f t="shared" si="26"/>
        <v>#VALUE!</v>
      </c>
      <c r="AD16" s="100" t="e">
        <f t="shared" si="27"/>
        <v>#VALUE!</v>
      </c>
      <c r="AE16" s="8" t="str">
        <f t="shared" si="28"/>
        <v/>
      </c>
      <c r="AF16" s="8" t="str">
        <f t="shared" si="29"/>
        <v/>
      </c>
      <c r="AG16" s="7" t="str">
        <f t="shared" si="30"/>
        <v>Good</v>
      </c>
      <c r="AI16" s="100">
        <f t="shared" si="0"/>
        <v>28.928550245</v>
      </c>
      <c r="AJ16" s="100">
        <f t="shared" si="1"/>
        <v>47.967895188</v>
      </c>
    </row>
    <row r="17" spans="1:36" x14ac:dyDescent="0.2">
      <c r="A17" s="8">
        <v>4.9000000000000002E-2</v>
      </c>
      <c r="B17" s="100">
        <v>28.928539144999998</v>
      </c>
      <c r="C17" s="100">
        <v>47.967874928999997</v>
      </c>
      <c r="D17" s="101">
        <v>48.684449688602363</v>
      </c>
      <c r="E17" s="42" t="str">
        <f t="shared" si="2"/>
        <v/>
      </c>
      <c r="F17" s="7" t="str">
        <f t="shared" si="3"/>
        <v/>
      </c>
      <c r="G17" s="100" t="str">
        <f t="shared" si="4"/>
        <v/>
      </c>
      <c r="H17" s="100" t="str">
        <f t="shared" si="5"/>
        <v/>
      </c>
      <c r="I17" s="100" t="str">
        <f t="shared" si="6"/>
        <v/>
      </c>
      <c r="J17" s="100" t="str">
        <f t="shared" si="7"/>
        <v/>
      </c>
      <c r="K17" s="102" t="str">
        <f t="shared" si="8"/>
        <v/>
      </c>
      <c r="L17" s="103" t="str">
        <f t="shared" si="9"/>
        <v/>
      </c>
      <c r="M17" s="103" t="str">
        <f t="shared" si="10"/>
        <v/>
      </c>
      <c r="N17" s="103" t="str">
        <f t="shared" si="11"/>
        <v/>
      </c>
      <c r="O17" s="103" t="str">
        <f t="shared" si="12"/>
        <v/>
      </c>
      <c r="P17" s="105" t="str">
        <f t="shared" si="13"/>
        <v/>
      </c>
      <c r="Q17" s="105" t="str">
        <f t="shared" si="14"/>
        <v/>
      </c>
      <c r="R17" s="104" t="str">
        <f t="shared" si="15"/>
        <v/>
      </c>
      <c r="S17" s="104" t="str">
        <f t="shared" si="16"/>
        <v/>
      </c>
      <c r="T17" s="105" t="str">
        <f t="shared" si="17"/>
        <v/>
      </c>
      <c r="U17" s="14" t="str">
        <f t="shared" si="18"/>
        <v/>
      </c>
      <c r="V17" s="14" t="str">
        <f t="shared" si="19"/>
        <v/>
      </c>
      <c r="W17" s="103" t="str">
        <f t="shared" si="20"/>
        <v/>
      </c>
      <c r="X17" s="103" t="str">
        <f t="shared" si="21"/>
        <v/>
      </c>
      <c r="Y17" s="100" t="str">
        <f t="shared" si="22"/>
        <v/>
      </c>
      <c r="Z17" s="100" t="str">
        <f t="shared" si="23"/>
        <v/>
      </c>
      <c r="AA17" s="100" t="e">
        <f t="shared" si="24"/>
        <v>#VALUE!</v>
      </c>
      <c r="AB17" s="100" t="e">
        <f t="shared" si="25"/>
        <v>#VALUE!</v>
      </c>
      <c r="AC17" s="100" t="e">
        <f t="shared" si="26"/>
        <v>#VALUE!</v>
      </c>
      <c r="AD17" s="100" t="e">
        <f t="shared" si="27"/>
        <v>#VALUE!</v>
      </c>
      <c r="AE17" s="8" t="str">
        <f t="shared" si="28"/>
        <v/>
      </c>
      <c r="AF17" s="8" t="str">
        <f t="shared" si="29"/>
        <v/>
      </c>
      <c r="AG17" s="7" t="str">
        <f t="shared" si="30"/>
        <v>Good</v>
      </c>
      <c r="AI17" s="100">
        <f t="shared" si="0"/>
        <v>28.928539144999998</v>
      </c>
      <c r="AJ17" s="100">
        <f t="shared" si="1"/>
        <v>47.967874928999997</v>
      </c>
    </row>
    <row r="18" spans="1:36" x14ac:dyDescent="0.2">
      <c r="A18" s="8">
        <v>5.1999999999999998E-2</v>
      </c>
      <c r="B18" s="100">
        <v>28.928524509999999</v>
      </c>
      <c r="C18" s="100">
        <v>47.967845629999999</v>
      </c>
      <c r="D18" s="101">
        <v>51.965399031425108</v>
      </c>
      <c r="E18" s="42" t="str">
        <f t="shared" si="2"/>
        <v/>
      </c>
      <c r="F18" s="7" t="str">
        <f t="shared" si="3"/>
        <v/>
      </c>
      <c r="G18" s="100" t="str">
        <f t="shared" si="4"/>
        <v/>
      </c>
      <c r="H18" s="100" t="str">
        <f t="shared" si="5"/>
        <v/>
      </c>
      <c r="I18" s="100" t="str">
        <f t="shared" si="6"/>
        <v/>
      </c>
      <c r="J18" s="100" t="str">
        <f t="shared" si="7"/>
        <v/>
      </c>
      <c r="K18" s="102" t="str">
        <f t="shared" si="8"/>
        <v/>
      </c>
      <c r="L18" s="103" t="str">
        <f t="shared" si="9"/>
        <v/>
      </c>
      <c r="M18" s="103" t="str">
        <f t="shared" si="10"/>
        <v/>
      </c>
      <c r="N18" s="103" t="str">
        <f t="shared" si="11"/>
        <v/>
      </c>
      <c r="O18" s="103" t="str">
        <f t="shared" si="12"/>
        <v/>
      </c>
      <c r="P18" s="105" t="str">
        <f t="shared" si="13"/>
        <v/>
      </c>
      <c r="Q18" s="105" t="str">
        <f t="shared" si="14"/>
        <v/>
      </c>
      <c r="R18" s="104" t="str">
        <f t="shared" si="15"/>
        <v/>
      </c>
      <c r="S18" s="104" t="str">
        <f t="shared" si="16"/>
        <v/>
      </c>
      <c r="T18" s="105" t="str">
        <f t="shared" si="17"/>
        <v/>
      </c>
      <c r="U18" s="14" t="str">
        <f t="shared" si="18"/>
        <v/>
      </c>
      <c r="V18" s="14" t="str">
        <f t="shared" si="19"/>
        <v/>
      </c>
      <c r="W18" s="103" t="str">
        <f t="shared" si="20"/>
        <v/>
      </c>
      <c r="X18" s="103" t="str">
        <f t="shared" si="21"/>
        <v/>
      </c>
      <c r="Y18" s="100" t="str">
        <f t="shared" si="22"/>
        <v/>
      </c>
      <c r="Z18" s="100" t="str">
        <f t="shared" si="23"/>
        <v/>
      </c>
      <c r="AA18" s="100" t="e">
        <f t="shared" si="24"/>
        <v>#VALUE!</v>
      </c>
      <c r="AB18" s="100" t="e">
        <f t="shared" si="25"/>
        <v>#VALUE!</v>
      </c>
      <c r="AC18" s="100" t="e">
        <f t="shared" si="26"/>
        <v>#VALUE!</v>
      </c>
      <c r="AD18" s="100" t="e">
        <f t="shared" si="27"/>
        <v>#VALUE!</v>
      </c>
      <c r="AE18" s="8" t="str">
        <f t="shared" si="28"/>
        <v/>
      </c>
      <c r="AF18" s="8" t="str">
        <f t="shared" si="29"/>
        <v/>
      </c>
      <c r="AG18" s="7" t="str">
        <f t="shared" si="30"/>
        <v>Good</v>
      </c>
      <c r="AI18" s="100">
        <f t="shared" si="0"/>
        <v>28.928524509999999</v>
      </c>
      <c r="AJ18" s="100">
        <f t="shared" si="1"/>
        <v>47.967845629999999</v>
      </c>
    </row>
    <row r="19" spans="1:36" x14ac:dyDescent="0.2">
      <c r="A19" s="8">
        <v>8.5999999999999993E-2</v>
      </c>
      <c r="B19" s="100">
        <v>28.928422425000001</v>
      </c>
      <c r="C19" s="100">
        <v>47.967511407000003</v>
      </c>
      <c r="D19" s="101">
        <v>86.392498975754052</v>
      </c>
      <c r="E19" s="42" t="str">
        <f t="shared" si="2"/>
        <v/>
      </c>
      <c r="F19" s="7" t="str">
        <f t="shared" si="3"/>
        <v/>
      </c>
      <c r="G19" s="100" t="str">
        <f t="shared" si="4"/>
        <v/>
      </c>
      <c r="H19" s="100" t="str">
        <f t="shared" si="5"/>
        <v/>
      </c>
      <c r="I19" s="100" t="str">
        <f t="shared" si="6"/>
        <v/>
      </c>
      <c r="J19" s="100" t="str">
        <f t="shared" si="7"/>
        <v/>
      </c>
      <c r="K19" s="102" t="str">
        <f t="shared" si="8"/>
        <v/>
      </c>
      <c r="L19" s="103" t="str">
        <f t="shared" si="9"/>
        <v/>
      </c>
      <c r="M19" s="103" t="str">
        <f t="shared" si="10"/>
        <v/>
      </c>
      <c r="N19" s="103" t="str">
        <f t="shared" si="11"/>
        <v/>
      </c>
      <c r="O19" s="103" t="str">
        <f t="shared" si="12"/>
        <v/>
      </c>
      <c r="P19" s="105" t="str">
        <f t="shared" si="13"/>
        <v/>
      </c>
      <c r="Q19" s="105" t="str">
        <f t="shared" si="14"/>
        <v/>
      </c>
      <c r="R19" s="104" t="str">
        <f t="shared" si="15"/>
        <v/>
      </c>
      <c r="S19" s="104" t="str">
        <f t="shared" si="16"/>
        <v/>
      </c>
      <c r="T19" s="105" t="str">
        <f t="shared" si="17"/>
        <v/>
      </c>
      <c r="U19" s="14" t="str">
        <f t="shared" si="18"/>
        <v/>
      </c>
      <c r="V19" s="14" t="str">
        <f t="shared" si="19"/>
        <v/>
      </c>
      <c r="W19" s="103" t="str">
        <f t="shared" si="20"/>
        <v/>
      </c>
      <c r="X19" s="103" t="str">
        <f t="shared" si="21"/>
        <v/>
      </c>
      <c r="Y19" s="100" t="str">
        <f t="shared" si="22"/>
        <v/>
      </c>
      <c r="Z19" s="100" t="str">
        <f t="shared" si="23"/>
        <v/>
      </c>
      <c r="AA19" s="100" t="e">
        <f t="shared" si="24"/>
        <v>#VALUE!</v>
      </c>
      <c r="AB19" s="100" t="e">
        <f t="shared" si="25"/>
        <v>#VALUE!</v>
      </c>
      <c r="AC19" s="100" t="e">
        <f t="shared" si="26"/>
        <v>#VALUE!</v>
      </c>
      <c r="AD19" s="100" t="e">
        <f t="shared" si="27"/>
        <v>#VALUE!</v>
      </c>
      <c r="AE19" s="8" t="str">
        <f t="shared" si="28"/>
        <v/>
      </c>
      <c r="AF19" s="8" t="str">
        <f t="shared" si="29"/>
        <v/>
      </c>
      <c r="AG19" s="7" t="str">
        <f t="shared" si="30"/>
        <v>Good</v>
      </c>
      <c r="AI19" s="100">
        <f t="shared" si="0"/>
        <v>28.928422425000001</v>
      </c>
      <c r="AJ19" s="100">
        <f t="shared" si="1"/>
        <v>47.967511407000003</v>
      </c>
    </row>
    <row r="20" spans="1:36" x14ac:dyDescent="0.2">
      <c r="A20" s="8">
        <v>0.109</v>
      </c>
      <c r="B20" s="100">
        <v>28.928348265</v>
      </c>
      <c r="C20" s="100">
        <v>47.967298651</v>
      </c>
      <c r="D20" s="101">
        <v>108.66438631767971</v>
      </c>
      <c r="E20" s="42" t="str">
        <f t="shared" si="2"/>
        <v/>
      </c>
      <c r="F20" s="7" t="str">
        <f t="shared" si="3"/>
        <v/>
      </c>
      <c r="G20" s="100" t="str">
        <f t="shared" si="4"/>
        <v/>
      </c>
      <c r="H20" s="100" t="str">
        <f t="shared" si="5"/>
        <v/>
      </c>
      <c r="I20" s="100" t="str">
        <f t="shared" si="6"/>
        <v/>
      </c>
      <c r="J20" s="100" t="str">
        <f t="shared" si="7"/>
        <v/>
      </c>
      <c r="K20" s="102" t="str">
        <f t="shared" si="8"/>
        <v/>
      </c>
      <c r="L20" s="103" t="str">
        <f t="shared" si="9"/>
        <v/>
      </c>
      <c r="M20" s="103" t="str">
        <f t="shared" si="10"/>
        <v/>
      </c>
      <c r="N20" s="103" t="str">
        <f t="shared" si="11"/>
        <v/>
      </c>
      <c r="O20" s="103" t="str">
        <f t="shared" si="12"/>
        <v/>
      </c>
      <c r="P20" s="105" t="str">
        <f t="shared" si="13"/>
        <v/>
      </c>
      <c r="Q20" s="105" t="str">
        <f t="shared" si="14"/>
        <v/>
      </c>
      <c r="R20" s="104" t="str">
        <f t="shared" si="15"/>
        <v/>
      </c>
      <c r="S20" s="104" t="str">
        <f t="shared" si="16"/>
        <v/>
      </c>
      <c r="T20" s="105" t="str">
        <f t="shared" si="17"/>
        <v/>
      </c>
      <c r="U20" s="14" t="str">
        <f t="shared" si="18"/>
        <v/>
      </c>
      <c r="V20" s="14" t="str">
        <f t="shared" si="19"/>
        <v/>
      </c>
      <c r="W20" s="103" t="str">
        <f t="shared" si="20"/>
        <v/>
      </c>
      <c r="X20" s="103" t="str">
        <f t="shared" si="21"/>
        <v/>
      </c>
      <c r="Y20" s="100" t="str">
        <f t="shared" si="22"/>
        <v/>
      </c>
      <c r="Z20" s="100" t="str">
        <f t="shared" si="23"/>
        <v/>
      </c>
      <c r="AA20" s="100" t="e">
        <f t="shared" si="24"/>
        <v>#VALUE!</v>
      </c>
      <c r="AB20" s="100" t="e">
        <f t="shared" si="25"/>
        <v>#VALUE!</v>
      </c>
      <c r="AC20" s="100" t="e">
        <f t="shared" si="26"/>
        <v>#VALUE!</v>
      </c>
      <c r="AD20" s="100" t="e">
        <f t="shared" si="27"/>
        <v>#VALUE!</v>
      </c>
      <c r="AE20" s="8" t="str">
        <f t="shared" si="28"/>
        <v/>
      </c>
      <c r="AF20" s="8" t="str">
        <f t="shared" si="29"/>
        <v/>
      </c>
      <c r="AG20" s="7" t="str">
        <f t="shared" si="30"/>
        <v>Good</v>
      </c>
      <c r="AI20" s="100">
        <f t="shared" si="0"/>
        <v>28.928348265</v>
      </c>
      <c r="AJ20" s="100">
        <f t="shared" si="1"/>
        <v>47.967298651</v>
      </c>
    </row>
    <row r="21" spans="1:36" x14ac:dyDescent="0.2">
      <c r="A21" s="8">
        <v>0.216</v>
      </c>
      <c r="B21" s="100">
        <v>28.928033873</v>
      </c>
      <c r="C21" s="100">
        <v>47.966250928000001</v>
      </c>
      <c r="D21" s="101">
        <v>216.38307350558711</v>
      </c>
      <c r="E21" s="42" t="str">
        <f t="shared" si="2"/>
        <v/>
      </c>
      <c r="F21" s="7" t="str">
        <f t="shared" si="3"/>
        <v/>
      </c>
      <c r="G21" s="100" t="str">
        <f t="shared" si="4"/>
        <v/>
      </c>
      <c r="H21" s="100" t="str">
        <f t="shared" si="5"/>
        <v/>
      </c>
      <c r="I21" s="100" t="str">
        <f t="shared" si="6"/>
        <v/>
      </c>
      <c r="J21" s="100" t="str">
        <f t="shared" si="7"/>
        <v/>
      </c>
      <c r="K21" s="102" t="str">
        <f t="shared" si="8"/>
        <v/>
      </c>
      <c r="L21" s="103" t="str">
        <f t="shared" si="9"/>
        <v/>
      </c>
      <c r="M21" s="103" t="str">
        <f t="shared" si="10"/>
        <v/>
      </c>
      <c r="N21" s="103" t="str">
        <f t="shared" si="11"/>
        <v/>
      </c>
      <c r="O21" s="103" t="str">
        <f t="shared" si="12"/>
        <v/>
      </c>
      <c r="P21" s="105" t="str">
        <f t="shared" si="13"/>
        <v/>
      </c>
      <c r="Q21" s="105" t="str">
        <f t="shared" si="14"/>
        <v/>
      </c>
      <c r="R21" s="104" t="str">
        <f t="shared" si="15"/>
        <v/>
      </c>
      <c r="S21" s="104" t="str">
        <f t="shared" si="16"/>
        <v/>
      </c>
      <c r="T21" s="105" t="str">
        <f t="shared" si="17"/>
        <v/>
      </c>
      <c r="U21" s="14" t="str">
        <f t="shared" si="18"/>
        <v/>
      </c>
      <c r="V21" s="14" t="str">
        <f t="shared" si="19"/>
        <v/>
      </c>
      <c r="W21" s="103" t="str">
        <f t="shared" si="20"/>
        <v/>
      </c>
      <c r="X21" s="103" t="str">
        <f t="shared" si="21"/>
        <v/>
      </c>
      <c r="Y21" s="100" t="str">
        <f t="shared" si="22"/>
        <v/>
      </c>
      <c r="Z21" s="100" t="str">
        <f t="shared" si="23"/>
        <v/>
      </c>
      <c r="AA21" s="100" t="e">
        <f t="shared" si="24"/>
        <v>#VALUE!</v>
      </c>
      <c r="AB21" s="100" t="e">
        <f t="shared" si="25"/>
        <v>#VALUE!</v>
      </c>
      <c r="AC21" s="100" t="e">
        <f t="shared" si="26"/>
        <v>#VALUE!</v>
      </c>
      <c r="AD21" s="100" t="e">
        <f t="shared" si="27"/>
        <v>#VALUE!</v>
      </c>
      <c r="AE21" s="8" t="str">
        <f t="shared" si="28"/>
        <v/>
      </c>
      <c r="AF21" s="8" t="str">
        <f t="shared" si="29"/>
        <v/>
      </c>
      <c r="AG21" s="7" t="str">
        <f t="shared" si="30"/>
        <v>Good</v>
      </c>
      <c r="AI21" s="100">
        <f t="shared" si="0"/>
        <v>28.928033873</v>
      </c>
      <c r="AJ21" s="100">
        <f t="shared" si="1"/>
        <v>47.966250928000001</v>
      </c>
    </row>
    <row r="22" spans="1:36" x14ac:dyDescent="0.2">
      <c r="A22" s="8">
        <v>0.24099999999999999</v>
      </c>
      <c r="B22" s="100">
        <v>28.927977858999999</v>
      </c>
      <c r="C22" s="100">
        <v>47.966006794000002</v>
      </c>
      <c r="D22" s="101">
        <v>240.92848410170285</v>
      </c>
      <c r="E22" s="42" t="str">
        <f t="shared" si="2"/>
        <v/>
      </c>
      <c r="F22" s="7" t="str">
        <f t="shared" si="3"/>
        <v/>
      </c>
      <c r="G22" s="100" t="str">
        <f t="shared" si="4"/>
        <v/>
      </c>
      <c r="H22" s="100" t="str">
        <f t="shared" si="5"/>
        <v/>
      </c>
      <c r="I22" s="100" t="str">
        <f t="shared" si="6"/>
        <v/>
      </c>
      <c r="J22" s="100" t="str">
        <f t="shared" si="7"/>
        <v/>
      </c>
      <c r="K22" s="102" t="str">
        <f t="shared" si="8"/>
        <v/>
      </c>
      <c r="L22" s="103" t="str">
        <f t="shared" si="9"/>
        <v/>
      </c>
      <c r="M22" s="103" t="str">
        <f t="shared" si="10"/>
        <v/>
      </c>
      <c r="N22" s="103" t="str">
        <f t="shared" si="11"/>
        <v/>
      </c>
      <c r="O22" s="103" t="str">
        <f t="shared" si="12"/>
        <v/>
      </c>
      <c r="P22" s="105" t="str">
        <f t="shared" si="13"/>
        <v/>
      </c>
      <c r="Q22" s="105" t="str">
        <f t="shared" si="14"/>
        <v/>
      </c>
      <c r="R22" s="104" t="str">
        <f t="shared" si="15"/>
        <v/>
      </c>
      <c r="S22" s="104" t="str">
        <f t="shared" si="16"/>
        <v/>
      </c>
      <c r="T22" s="105" t="str">
        <f t="shared" si="17"/>
        <v/>
      </c>
      <c r="U22" s="14" t="str">
        <f t="shared" si="18"/>
        <v/>
      </c>
      <c r="V22" s="14" t="str">
        <f t="shared" si="19"/>
        <v/>
      </c>
      <c r="W22" s="103" t="str">
        <f t="shared" si="20"/>
        <v/>
      </c>
      <c r="X22" s="103" t="str">
        <f t="shared" si="21"/>
        <v/>
      </c>
      <c r="Y22" s="100" t="str">
        <f t="shared" si="22"/>
        <v/>
      </c>
      <c r="Z22" s="100" t="str">
        <f t="shared" si="23"/>
        <v/>
      </c>
      <c r="AA22" s="100" t="e">
        <f t="shared" si="24"/>
        <v>#VALUE!</v>
      </c>
      <c r="AB22" s="100" t="e">
        <f t="shared" si="25"/>
        <v>#VALUE!</v>
      </c>
      <c r="AC22" s="100" t="e">
        <f t="shared" si="26"/>
        <v>#VALUE!</v>
      </c>
      <c r="AD22" s="100" t="e">
        <f t="shared" si="27"/>
        <v>#VALUE!</v>
      </c>
      <c r="AE22" s="8" t="str">
        <f t="shared" si="28"/>
        <v/>
      </c>
      <c r="AF22" s="8" t="str">
        <f t="shared" si="29"/>
        <v/>
      </c>
      <c r="AG22" s="7" t="str">
        <f t="shared" si="30"/>
        <v>Good</v>
      </c>
      <c r="AI22" s="100">
        <f t="shared" si="0"/>
        <v>28.927977858999999</v>
      </c>
      <c r="AJ22" s="100">
        <f t="shared" si="1"/>
        <v>47.966006794000002</v>
      </c>
    </row>
    <row r="23" spans="1:36" x14ac:dyDescent="0.2">
      <c r="A23" s="8">
        <v>0.39400000000000002</v>
      </c>
      <c r="B23" s="100">
        <v>28.927524955999999</v>
      </c>
      <c r="C23" s="100">
        <v>47.964521765999997</v>
      </c>
      <c r="D23" s="101">
        <v>393.87255544049509</v>
      </c>
      <c r="E23" s="42" t="str">
        <f t="shared" si="2"/>
        <v/>
      </c>
      <c r="F23" s="7" t="str">
        <f t="shared" si="3"/>
        <v/>
      </c>
      <c r="G23" s="100" t="str">
        <f t="shared" si="4"/>
        <v/>
      </c>
      <c r="H23" s="100" t="str">
        <f t="shared" si="5"/>
        <v/>
      </c>
      <c r="I23" s="100" t="str">
        <f t="shared" si="6"/>
        <v/>
      </c>
      <c r="J23" s="100" t="str">
        <f t="shared" si="7"/>
        <v/>
      </c>
      <c r="K23" s="102" t="str">
        <f t="shared" si="8"/>
        <v/>
      </c>
      <c r="L23" s="103" t="str">
        <f t="shared" si="9"/>
        <v/>
      </c>
      <c r="M23" s="103" t="str">
        <f t="shared" si="10"/>
        <v/>
      </c>
      <c r="N23" s="103" t="str">
        <f t="shared" si="11"/>
        <v/>
      </c>
      <c r="O23" s="103" t="str">
        <f t="shared" si="12"/>
        <v/>
      </c>
      <c r="P23" s="105" t="str">
        <f t="shared" si="13"/>
        <v/>
      </c>
      <c r="Q23" s="105" t="str">
        <f t="shared" si="14"/>
        <v/>
      </c>
      <c r="R23" s="104" t="str">
        <f t="shared" si="15"/>
        <v/>
      </c>
      <c r="S23" s="104" t="str">
        <f t="shared" si="16"/>
        <v/>
      </c>
      <c r="T23" s="105" t="str">
        <f t="shared" si="17"/>
        <v/>
      </c>
      <c r="U23" s="14" t="str">
        <f t="shared" si="18"/>
        <v/>
      </c>
      <c r="V23" s="14" t="str">
        <f t="shared" si="19"/>
        <v/>
      </c>
      <c r="W23" s="103" t="str">
        <f t="shared" si="20"/>
        <v/>
      </c>
      <c r="X23" s="103" t="str">
        <f t="shared" si="21"/>
        <v/>
      </c>
      <c r="Y23" s="100" t="str">
        <f t="shared" si="22"/>
        <v/>
      </c>
      <c r="Z23" s="100" t="str">
        <f t="shared" si="23"/>
        <v/>
      </c>
      <c r="AA23" s="100" t="e">
        <f t="shared" si="24"/>
        <v>#VALUE!</v>
      </c>
      <c r="AB23" s="100" t="e">
        <f t="shared" si="25"/>
        <v>#VALUE!</v>
      </c>
      <c r="AC23" s="100" t="e">
        <f t="shared" si="26"/>
        <v>#VALUE!</v>
      </c>
      <c r="AD23" s="100" t="e">
        <f t="shared" si="27"/>
        <v>#VALUE!</v>
      </c>
      <c r="AE23" s="8" t="str">
        <f t="shared" si="28"/>
        <v/>
      </c>
      <c r="AF23" s="8" t="str">
        <f t="shared" si="29"/>
        <v/>
      </c>
      <c r="AG23" s="7" t="str">
        <f t="shared" si="30"/>
        <v>Good</v>
      </c>
      <c r="AI23" s="100">
        <f t="shared" si="0"/>
        <v>28.927524955999999</v>
      </c>
      <c r="AJ23" s="100">
        <f t="shared" si="1"/>
        <v>47.964521765999997</v>
      </c>
    </row>
    <row r="24" spans="1:36" x14ac:dyDescent="0.2">
      <c r="A24" s="8">
        <v>0.40400000000000003</v>
      </c>
      <c r="B24" s="100">
        <v>28.927498727</v>
      </c>
      <c r="C24" s="100">
        <v>47.964426308</v>
      </c>
      <c r="D24" s="101">
        <v>403.60274190184356</v>
      </c>
      <c r="E24" s="42" t="str">
        <f t="shared" si="2"/>
        <v/>
      </c>
      <c r="F24" s="7" t="str">
        <f t="shared" si="3"/>
        <v/>
      </c>
      <c r="G24" s="100" t="str">
        <f t="shared" si="4"/>
        <v/>
      </c>
      <c r="H24" s="100" t="str">
        <f t="shared" si="5"/>
        <v/>
      </c>
      <c r="I24" s="100" t="str">
        <f t="shared" si="6"/>
        <v/>
      </c>
      <c r="J24" s="100" t="str">
        <f t="shared" si="7"/>
        <v/>
      </c>
      <c r="K24" s="102" t="str">
        <f t="shared" si="8"/>
        <v/>
      </c>
      <c r="L24" s="103" t="str">
        <f t="shared" si="9"/>
        <v/>
      </c>
      <c r="M24" s="103" t="str">
        <f t="shared" si="10"/>
        <v/>
      </c>
      <c r="N24" s="103" t="str">
        <f t="shared" si="11"/>
        <v/>
      </c>
      <c r="O24" s="103" t="str">
        <f t="shared" si="12"/>
        <v/>
      </c>
      <c r="P24" s="105" t="str">
        <f t="shared" si="13"/>
        <v/>
      </c>
      <c r="Q24" s="105" t="str">
        <f t="shared" si="14"/>
        <v/>
      </c>
      <c r="R24" s="104" t="str">
        <f t="shared" si="15"/>
        <v/>
      </c>
      <c r="S24" s="104" t="str">
        <f t="shared" si="16"/>
        <v/>
      </c>
      <c r="T24" s="105" t="str">
        <f t="shared" si="17"/>
        <v/>
      </c>
      <c r="U24" s="14" t="str">
        <f t="shared" si="18"/>
        <v/>
      </c>
      <c r="V24" s="14" t="str">
        <f t="shared" si="19"/>
        <v/>
      </c>
      <c r="W24" s="103" t="str">
        <f t="shared" si="20"/>
        <v/>
      </c>
      <c r="X24" s="103" t="str">
        <f t="shared" si="21"/>
        <v/>
      </c>
      <c r="Y24" s="100" t="str">
        <f t="shared" si="22"/>
        <v/>
      </c>
      <c r="Z24" s="100" t="str">
        <f t="shared" si="23"/>
        <v/>
      </c>
      <c r="AA24" s="100" t="e">
        <f t="shared" si="24"/>
        <v>#VALUE!</v>
      </c>
      <c r="AB24" s="100" t="e">
        <f t="shared" si="25"/>
        <v>#VALUE!</v>
      </c>
      <c r="AC24" s="100" t="e">
        <f t="shared" si="26"/>
        <v>#VALUE!</v>
      </c>
      <c r="AD24" s="100" t="e">
        <f t="shared" si="27"/>
        <v>#VALUE!</v>
      </c>
      <c r="AE24" s="8" t="str">
        <f t="shared" si="28"/>
        <v/>
      </c>
      <c r="AF24" s="8" t="str">
        <f t="shared" si="29"/>
        <v/>
      </c>
      <c r="AG24" s="7" t="str">
        <f t="shared" si="30"/>
        <v>Good</v>
      </c>
      <c r="AI24" s="100">
        <f t="shared" si="0"/>
        <v>28.927498727</v>
      </c>
      <c r="AJ24" s="100">
        <f t="shared" si="1"/>
        <v>47.964426308</v>
      </c>
    </row>
    <row r="25" spans="1:36" x14ac:dyDescent="0.2">
      <c r="A25" s="8">
        <v>0.46600000000000003</v>
      </c>
      <c r="B25" s="100">
        <v>28.927310321</v>
      </c>
      <c r="C25" s="100">
        <v>47.963816924</v>
      </c>
      <c r="D25" s="101">
        <v>466.45783479533122</v>
      </c>
      <c r="E25" s="42" t="str">
        <f t="shared" si="2"/>
        <v/>
      </c>
      <c r="F25" s="7" t="str">
        <f t="shared" si="3"/>
        <v/>
      </c>
      <c r="G25" s="100" t="str">
        <f t="shared" si="4"/>
        <v/>
      </c>
      <c r="H25" s="100" t="str">
        <f t="shared" si="5"/>
        <v/>
      </c>
      <c r="I25" s="100" t="str">
        <f t="shared" si="6"/>
        <v/>
      </c>
      <c r="J25" s="100" t="str">
        <f t="shared" si="7"/>
        <v/>
      </c>
      <c r="K25" s="102" t="str">
        <f t="shared" si="8"/>
        <v/>
      </c>
      <c r="L25" s="103" t="str">
        <f t="shared" si="9"/>
        <v/>
      </c>
      <c r="M25" s="103" t="str">
        <f t="shared" si="10"/>
        <v/>
      </c>
      <c r="N25" s="103" t="str">
        <f t="shared" si="11"/>
        <v/>
      </c>
      <c r="O25" s="103" t="str">
        <f t="shared" si="12"/>
        <v/>
      </c>
      <c r="P25" s="105" t="str">
        <f t="shared" si="13"/>
        <v/>
      </c>
      <c r="Q25" s="105" t="str">
        <f t="shared" si="14"/>
        <v/>
      </c>
      <c r="R25" s="104" t="str">
        <f t="shared" si="15"/>
        <v/>
      </c>
      <c r="S25" s="104" t="str">
        <f t="shared" si="16"/>
        <v/>
      </c>
      <c r="T25" s="105" t="str">
        <f t="shared" si="17"/>
        <v/>
      </c>
      <c r="U25" s="14" t="str">
        <f t="shared" si="18"/>
        <v/>
      </c>
      <c r="V25" s="14" t="str">
        <f t="shared" si="19"/>
        <v/>
      </c>
      <c r="W25" s="103" t="str">
        <f t="shared" si="20"/>
        <v/>
      </c>
      <c r="X25" s="103" t="str">
        <f t="shared" si="21"/>
        <v/>
      </c>
      <c r="Y25" s="100" t="str">
        <f t="shared" si="22"/>
        <v/>
      </c>
      <c r="Z25" s="100" t="str">
        <f t="shared" si="23"/>
        <v/>
      </c>
      <c r="AA25" s="100" t="e">
        <f t="shared" si="24"/>
        <v>#VALUE!</v>
      </c>
      <c r="AB25" s="100" t="e">
        <f t="shared" si="25"/>
        <v>#VALUE!</v>
      </c>
      <c r="AC25" s="100" t="e">
        <f t="shared" si="26"/>
        <v>#VALUE!</v>
      </c>
      <c r="AD25" s="100" t="e">
        <f t="shared" si="27"/>
        <v>#VALUE!</v>
      </c>
      <c r="AE25" s="8" t="str">
        <f t="shared" si="28"/>
        <v/>
      </c>
      <c r="AF25" s="8" t="str">
        <f t="shared" si="29"/>
        <v/>
      </c>
      <c r="AG25" s="7" t="str">
        <f t="shared" si="30"/>
        <v>Good</v>
      </c>
      <c r="AI25" s="100">
        <f t="shared" si="0"/>
        <v>28.927310321</v>
      </c>
      <c r="AJ25" s="100">
        <f t="shared" si="1"/>
        <v>47.963816924</v>
      </c>
    </row>
    <row r="26" spans="1:36" x14ac:dyDescent="0.2">
      <c r="A26" s="8">
        <v>0.51700000000000002</v>
      </c>
      <c r="B26" s="100">
        <v>28.927166331999999</v>
      </c>
      <c r="C26" s="100">
        <v>47.963321657000002</v>
      </c>
      <c r="D26" s="101">
        <v>517.21334120722986</v>
      </c>
      <c r="E26" s="42" t="str">
        <f t="shared" ref="E26:E67" si="31">IF(F26=1,D26-D25,"")</f>
        <v/>
      </c>
      <c r="F26" s="7" t="str">
        <f t="shared" si="3"/>
        <v/>
      </c>
      <c r="G26" s="100" t="str">
        <f t="shared" si="4"/>
        <v/>
      </c>
      <c r="H26" s="100" t="str">
        <f t="shared" si="5"/>
        <v/>
      </c>
      <c r="I26" s="100" t="str">
        <f t="shared" si="6"/>
        <v/>
      </c>
      <c r="J26" s="100" t="str">
        <f t="shared" si="7"/>
        <v/>
      </c>
      <c r="K26" s="102" t="str">
        <f t="shared" si="8"/>
        <v/>
      </c>
      <c r="L26" s="103" t="str">
        <f t="shared" si="9"/>
        <v/>
      </c>
      <c r="M26" s="103" t="str">
        <f t="shared" si="10"/>
        <v/>
      </c>
      <c r="N26" s="103" t="str">
        <f t="shared" si="11"/>
        <v/>
      </c>
      <c r="O26" s="103" t="str">
        <f t="shared" si="12"/>
        <v/>
      </c>
      <c r="P26" s="105" t="str">
        <f t="shared" si="13"/>
        <v/>
      </c>
      <c r="Q26" s="105" t="str">
        <f t="shared" si="14"/>
        <v/>
      </c>
      <c r="R26" s="104" t="str">
        <f t="shared" si="15"/>
        <v/>
      </c>
      <c r="S26" s="104" t="str">
        <f t="shared" si="16"/>
        <v/>
      </c>
      <c r="T26" s="105" t="str">
        <f t="shared" si="17"/>
        <v/>
      </c>
      <c r="U26" s="14" t="str">
        <f t="shared" si="18"/>
        <v/>
      </c>
      <c r="V26" s="14" t="str">
        <f t="shared" si="19"/>
        <v/>
      </c>
      <c r="W26" s="103" t="str">
        <f t="shared" si="20"/>
        <v/>
      </c>
      <c r="X26" s="103" t="str">
        <f t="shared" si="21"/>
        <v/>
      </c>
      <c r="Y26" s="100" t="str">
        <f t="shared" si="22"/>
        <v/>
      </c>
      <c r="Z26" s="100" t="str">
        <f t="shared" si="23"/>
        <v/>
      </c>
      <c r="AA26" s="100" t="e">
        <f t="shared" si="24"/>
        <v>#VALUE!</v>
      </c>
      <c r="AB26" s="100" t="e">
        <f t="shared" si="25"/>
        <v>#VALUE!</v>
      </c>
      <c r="AC26" s="100" t="e">
        <f t="shared" si="26"/>
        <v>#VALUE!</v>
      </c>
      <c r="AD26" s="100" t="e">
        <f t="shared" si="27"/>
        <v>#VALUE!</v>
      </c>
      <c r="AE26" s="8" t="str">
        <f t="shared" si="28"/>
        <v/>
      </c>
      <c r="AF26" s="8" t="str">
        <f t="shared" si="29"/>
        <v/>
      </c>
      <c r="AG26" s="7" t="str">
        <f t="shared" si="30"/>
        <v>Good</v>
      </c>
      <c r="AI26" s="100">
        <f t="shared" si="0"/>
        <v>28.927166331999999</v>
      </c>
      <c r="AJ26" s="100">
        <f t="shared" si="1"/>
        <v>47.963321657000002</v>
      </c>
    </row>
    <row r="27" spans="1:36" x14ac:dyDescent="0.2">
      <c r="A27" s="8">
        <v>0.52300000000000002</v>
      </c>
      <c r="B27" s="100">
        <v>28.927152178</v>
      </c>
      <c r="C27" s="100">
        <v>47.963264989999999</v>
      </c>
      <c r="D27" s="101">
        <v>522.94421529832505</v>
      </c>
      <c r="E27" s="42" t="str">
        <f t="shared" si="31"/>
        <v/>
      </c>
      <c r="F27" s="7" t="str">
        <f t="shared" si="3"/>
        <v/>
      </c>
      <c r="G27" s="100" t="str">
        <f t="shared" si="4"/>
        <v/>
      </c>
      <c r="H27" s="100" t="str">
        <f t="shared" si="5"/>
        <v/>
      </c>
      <c r="I27" s="100" t="str">
        <f t="shared" si="6"/>
        <v/>
      </c>
      <c r="J27" s="100" t="str">
        <f t="shared" si="7"/>
        <v/>
      </c>
      <c r="K27" s="102" t="str">
        <f t="shared" si="8"/>
        <v/>
      </c>
      <c r="L27" s="103" t="str">
        <f t="shared" si="9"/>
        <v/>
      </c>
      <c r="M27" s="103" t="str">
        <f t="shared" si="10"/>
        <v/>
      </c>
      <c r="N27" s="103" t="str">
        <f t="shared" si="11"/>
        <v/>
      </c>
      <c r="O27" s="103" t="str">
        <f t="shared" si="12"/>
        <v/>
      </c>
      <c r="P27" s="105" t="str">
        <f t="shared" si="13"/>
        <v/>
      </c>
      <c r="Q27" s="105" t="str">
        <f t="shared" si="14"/>
        <v/>
      </c>
      <c r="R27" s="104" t="str">
        <f t="shared" si="15"/>
        <v/>
      </c>
      <c r="S27" s="104" t="str">
        <f t="shared" si="16"/>
        <v/>
      </c>
      <c r="T27" s="105" t="str">
        <f t="shared" si="17"/>
        <v/>
      </c>
      <c r="U27" s="14" t="str">
        <f t="shared" si="18"/>
        <v/>
      </c>
      <c r="V27" s="14" t="str">
        <f t="shared" si="19"/>
        <v/>
      </c>
      <c r="W27" s="103" t="str">
        <f t="shared" si="20"/>
        <v/>
      </c>
      <c r="X27" s="103" t="str">
        <f t="shared" si="21"/>
        <v/>
      </c>
      <c r="Y27" s="100" t="str">
        <f t="shared" si="22"/>
        <v/>
      </c>
      <c r="Z27" s="100" t="str">
        <f t="shared" si="23"/>
        <v/>
      </c>
      <c r="AA27" s="100" t="e">
        <f t="shared" si="24"/>
        <v>#VALUE!</v>
      </c>
      <c r="AB27" s="100" t="e">
        <f t="shared" si="25"/>
        <v>#VALUE!</v>
      </c>
      <c r="AC27" s="100" t="e">
        <f t="shared" si="26"/>
        <v>#VALUE!</v>
      </c>
      <c r="AD27" s="100" t="e">
        <f t="shared" si="27"/>
        <v>#VALUE!</v>
      </c>
      <c r="AE27" s="8" t="str">
        <f t="shared" si="28"/>
        <v/>
      </c>
      <c r="AF27" s="8" t="str">
        <f t="shared" si="29"/>
        <v/>
      </c>
      <c r="AG27" s="7" t="str">
        <f t="shared" si="30"/>
        <v>Good</v>
      </c>
      <c r="AI27" s="100">
        <f t="shared" si="0"/>
        <v>28.927152178</v>
      </c>
      <c r="AJ27" s="100">
        <f t="shared" si="1"/>
        <v>47.963264989999999</v>
      </c>
    </row>
    <row r="28" spans="1:36" x14ac:dyDescent="0.2">
      <c r="A28" s="8">
        <v>0.58199999999999996</v>
      </c>
      <c r="B28" s="100">
        <v>28.926983504999999</v>
      </c>
      <c r="C28" s="100">
        <v>47.962692418000003</v>
      </c>
      <c r="D28" s="101">
        <v>581.70007111098539</v>
      </c>
      <c r="E28" s="42" t="str">
        <f t="shared" si="31"/>
        <v/>
      </c>
      <c r="F28" s="7" t="str">
        <f t="shared" si="3"/>
        <v/>
      </c>
      <c r="G28" s="100" t="str">
        <f t="shared" si="4"/>
        <v/>
      </c>
      <c r="H28" s="100" t="str">
        <f t="shared" si="5"/>
        <v/>
      </c>
      <c r="I28" s="100" t="str">
        <f t="shared" si="6"/>
        <v/>
      </c>
      <c r="J28" s="100" t="str">
        <f t="shared" si="7"/>
        <v/>
      </c>
      <c r="K28" s="102" t="str">
        <f t="shared" si="8"/>
        <v/>
      </c>
      <c r="L28" s="103" t="str">
        <f t="shared" si="9"/>
        <v/>
      </c>
      <c r="M28" s="103" t="str">
        <f t="shared" si="10"/>
        <v/>
      </c>
      <c r="N28" s="103" t="str">
        <f t="shared" si="11"/>
        <v/>
      </c>
      <c r="O28" s="103" t="str">
        <f t="shared" si="12"/>
        <v/>
      </c>
      <c r="P28" s="105" t="str">
        <f t="shared" si="13"/>
        <v/>
      </c>
      <c r="Q28" s="105" t="str">
        <f t="shared" si="14"/>
        <v/>
      </c>
      <c r="R28" s="104" t="str">
        <f t="shared" si="15"/>
        <v/>
      </c>
      <c r="S28" s="104" t="str">
        <f t="shared" si="16"/>
        <v/>
      </c>
      <c r="T28" s="105" t="str">
        <f t="shared" si="17"/>
        <v/>
      </c>
      <c r="U28" s="14" t="str">
        <f t="shared" si="18"/>
        <v/>
      </c>
      <c r="V28" s="14" t="str">
        <f t="shared" si="19"/>
        <v/>
      </c>
      <c r="W28" s="103" t="str">
        <f t="shared" si="20"/>
        <v/>
      </c>
      <c r="X28" s="103" t="str">
        <f t="shared" si="21"/>
        <v/>
      </c>
      <c r="Y28" s="100" t="str">
        <f t="shared" si="22"/>
        <v/>
      </c>
      <c r="Z28" s="100" t="str">
        <f t="shared" si="23"/>
        <v/>
      </c>
      <c r="AA28" s="100" t="e">
        <f t="shared" si="24"/>
        <v>#VALUE!</v>
      </c>
      <c r="AB28" s="100" t="e">
        <f t="shared" si="25"/>
        <v>#VALUE!</v>
      </c>
      <c r="AC28" s="100" t="e">
        <f t="shared" si="26"/>
        <v>#VALUE!</v>
      </c>
      <c r="AD28" s="100" t="e">
        <f t="shared" si="27"/>
        <v>#VALUE!</v>
      </c>
      <c r="AE28" s="8" t="str">
        <f t="shared" si="28"/>
        <v/>
      </c>
      <c r="AF28" s="8" t="str">
        <f t="shared" si="29"/>
        <v/>
      </c>
      <c r="AG28" s="7" t="str">
        <f t="shared" si="30"/>
        <v>Good</v>
      </c>
      <c r="AI28" s="100">
        <f t="shared" si="0"/>
        <v>28.926983504999999</v>
      </c>
      <c r="AJ28" s="100">
        <f t="shared" si="1"/>
        <v>47.962692418000003</v>
      </c>
    </row>
    <row r="29" spans="1:36" x14ac:dyDescent="0.2">
      <c r="A29" s="8">
        <v>0.59699999999999998</v>
      </c>
      <c r="B29" s="100">
        <v>28.926939778000001</v>
      </c>
      <c r="C29" s="100">
        <v>47.962544846</v>
      </c>
      <c r="D29" s="101">
        <v>596.85244409468271</v>
      </c>
      <c r="E29" s="42" t="str">
        <f t="shared" si="31"/>
        <v/>
      </c>
      <c r="F29" s="7" t="str">
        <f t="shared" si="3"/>
        <v/>
      </c>
      <c r="G29" s="100" t="str">
        <f t="shared" si="4"/>
        <v/>
      </c>
      <c r="H29" s="100" t="str">
        <f t="shared" si="5"/>
        <v/>
      </c>
      <c r="I29" s="100" t="str">
        <f t="shared" si="6"/>
        <v/>
      </c>
      <c r="J29" s="100" t="str">
        <f t="shared" si="7"/>
        <v/>
      </c>
      <c r="K29" s="102" t="str">
        <f t="shared" si="8"/>
        <v/>
      </c>
      <c r="L29" s="103" t="str">
        <f t="shared" si="9"/>
        <v/>
      </c>
      <c r="M29" s="103" t="str">
        <f t="shared" si="10"/>
        <v/>
      </c>
      <c r="N29" s="103" t="str">
        <f t="shared" si="11"/>
        <v/>
      </c>
      <c r="O29" s="103" t="str">
        <f t="shared" si="12"/>
        <v/>
      </c>
      <c r="P29" s="105" t="str">
        <f t="shared" si="13"/>
        <v/>
      </c>
      <c r="Q29" s="105" t="str">
        <f t="shared" si="14"/>
        <v/>
      </c>
      <c r="R29" s="104" t="str">
        <f t="shared" si="15"/>
        <v/>
      </c>
      <c r="S29" s="104" t="str">
        <f t="shared" si="16"/>
        <v/>
      </c>
      <c r="T29" s="105" t="str">
        <f t="shared" si="17"/>
        <v/>
      </c>
      <c r="U29" s="14" t="str">
        <f t="shared" si="18"/>
        <v/>
      </c>
      <c r="V29" s="14" t="str">
        <f t="shared" si="19"/>
        <v/>
      </c>
      <c r="W29" s="103" t="str">
        <f t="shared" si="20"/>
        <v/>
      </c>
      <c r="X29" s="103" t="str">
        <f t="shared" si="21"/>
        <v/>
      </c>
      <c r="Y29" s="100" t="str">
        <f t="shared" si="22"/>
        <v/>
      </c>
      <c r="Z29" s="100" t="str">
        <f t="shared" si="23"/>
        <v/>
      </c>
      <c r="AA29" s="100" t="e">
        <f t="shared" si="24"/>
        <v>#VALUE!</v>
      </c>
      <c r="AB29" s="100" t="e">
        <f t="shared" si="25"/>
        <v>#VALUE!</v>
      </c>
      <c r="AC29" s="100" t="e">
        <f t="shared" si="26"/>
        <v>#VALUE!</v>
      </c>
      <c r="AD29" s="100" t="e">
        <f t="shared" si="27"/>
        <v>#VALUE!</v>
      </c>
      <c r="AE29" s="8" t="str">
        <f t="shared" si="28"/>
        <v/>
      </c>
      <c r="AF29" s="8" t="str">
        <f t="shared" si="29"/>
        <v/>
      </c>
      <c r="AG29" s="7" t="str">
        <f t="shared" si="30"/>
        <v>Good</v>
      </c>
      <c r="AI29" s="100">
        <f t="shared" si="0"/>
        <v>28.926939778000001</v>
      </c>
      <c r="AJ29" s="100">
        <f t="shared" si="1"/>
        <v>47.962544846</v>
      </c>
    </row>
    <row r="30" spans="1:36" x14ac:dyDescent="0.2">
      <c r="A30" s="8">
        <v>0.61199999999999999</v>
      </c>
      <c r="B30" s="100">
        <v>28.926905456</v>
      </c>
      <c r="C30" s="100">
        <v>47.962389438000002</v>
      </c>
      <c r="D30" s="101">
        <v>612.44049044765472</v>
      </c>
      <c r="E30" s="42" t="str">
        <f t="shared" si="31"/>
        <v/>
      </c>
      <c r="F30" s="7" t="str">
        <f t="shared" si="3"/>
        <v/>
      </c>
      <c r="G30" s="100" t="str">
        <f t="shared" si="4"/>
        <v/>
      </c>
      <c r="H30" s="100" t="str">
        <f t="shared" si="5"/>
        <v/>
      </c>
      <c r="I30" s="100" t="str">
        <f t="shared" si="6"/>
        <v/>
      </c>
      <c r="J30" s="100" t="str">
        <f t="shared" si="7"/>
        <v/>
      </c>
      <c r="K30" s="102" t="str">
        <f t="shared" si="8"/>
        <v/>
      </c>
      <c r="L30" s="103" t="str">
        <f t="shared" si="9"/>
        <v/>
      </c>
      <c r="M30" s="103" t="str">
        <f t="shared" si="10"/>
        <v/>
      </c>
      <c r="N30" s="103" t="str">
        <f t="shared" si="11"/>
        <v/>
      </c>
      <c r="O30" s="103" t="str">
        <f t="shared" si="12"/>
        <v/>
      </c>
      <c r="P30" s="105" t="str">
        <f t="shared" si="13"/>
        <v/>
      </c>
      <c r="Q30" s="105" t="str">
        <f t="shared" si="14"/>
        <v/>
      </c>
      <c r="R30" s="104" t="str">
        <f t="shared" si="15"/>
        <v/>
      </c>
      <c r="S30" s="104" t="str">
        <f t="shared" si="16"/>
        <v/>
      </c>
      <c r="T30" s="105" t="str">
        <f t="shared" si="17"/>
        <v/>
      </c>
      <c r="U30" s="14" t="str">
        <f t="shared" si="18"/>
        <v/>
      </c>
      <c r="V30" s="14" t="str">
        <f t="shared" si="19"/>
        <v/>
      </c>
      <c r="W30" s="103" t="str">
        <f t="shared" si="20"/>
        <v/>
      </c>
      <c r="X30" s="103" t="str">
        <f t="shared" si="21"/>
        <v/>
      </c>
      <c r="Y30" s="100" t="str">
        <f t="shared" si="22"/>
        <v/>
      </c>
      <c r="Z30" s="100" t="str">
        <f t="shared" si="23"/>
        <v/>
      </c>
      <c r="AA30" s="100" t="e">
        <f t="shared" si="24"/>
        <v>#VALUE!</v>
      </c>
      <c r="AB30" s="100" t="e">
        <f t="shared" si="25"/>
        <v>#VALUE!</v>
      </c>
      <c r="AC30" s="100" t="e">
        <f t="shared" si="26"/>
        <v>#VALUE!</v>
      </c>
      <c r="AD30" s="100" t="e">
        <f t="shared" si="27"/>
        <v>#VALUE!</v>
      </c>
      <c r="AE30" s="8" t="str">
        <f t="shared" si="28"/>
        <v/>
      </c>
      <c r="AF30" s="8" t="str">
        <f t="shared" si="29"/>
        <v/>
      </c>
      <c r="AG30" s="7" t="str">
        <f t="shared" si="30"/>
        <v>Good</v>
      </c>
      <c r="AI30" s="100">
        <f t="shared" si="0"/>
        <v>28.926905456</v>
      </c>
      <c r="AJ30" s="100">
        <f t="shared" si="1"/>
        <v>47.962389438000002</v>
      </c>
    </row>
    <row r="31" spans="1:36" x14ac:dyDescent="0.2">
      <c r="A31" s="8">
        <v>0.628</v>
      </c>
      <c r="B31" s="100">
        <v>28.926918947000001</v>
      </c>
      <c r="C31" s="100">
        <v>47.962230478000002</v>
      </c>
      <c r="D31" s="101">
        <v>627.97271783700728</v>
      </c>
      <c r="E31" s="42" t="str">
        <f t="shared" si="31"/>
        <v/>
      </c>
      <c r="F31" s="7" t="str">
        <f t="shared" si="3"/>
        <v/>
      </c>
      <c r="G31" s="100" t="str">
        <f t="shared" si="4"/>
        <v/>
      </c>
      <c r="H31" s="100" t="str">
        <f t="shared" si="5"/>
        <v/>
      </c>
      <c r="I31" s="100" t="str">
        <f t="shared" si="6"/>
        <v/>
      </c>
      <c r="J31" s="100" t="str">
        <f t="shared" si="7"/>
        <v/>
      </c>
      <c r="K31" s="102" t="str">
        <f t="shared" si="8"/>
        <v/>
      </c>
      <c r="L31" s="103" t="str">
        <f t="shared" si="9"/>
        <v/>
      </c>
      <c r="M31" s="103" t="str">
        <f t="shared" si="10"/>
        <v/>
      </c>
      <c r="N31" s="103" t="str">
        <f t="shared" si="11"/>
        <v/>
      </c>
      <c r="O31" s="103" t="str">
        <f t="shared" si="12"/>
        <v/>
      </c>
      <c r="P31" s="105" t="str">
        <f t="shared" si="13"/>
        <v/>
      </c>
      <c r="Q31" s="105" t="str">
        <f t="shared" si="14"/>
        <v/>
      </c>
      <c r="R31" s="104" t="str">
        <f t="shared" si="15"/>
        <v/>
      </c>
      <c r="S31" s="104" t="str">
        <f t="shared" si="16"/>
        <v/>
      </c>
      <c r="T31" s="105" t="str">
        <f t="shared" si="17"/>
        <v/>
      </c>
      <c r="U31" s="14" t="str">
        <f t="shared" si="18"/>
        <v/>
      </c>
      <c r="V31" s="14" t="str">
        <f t="shared" si="19"/>
        <v/>
      </c>
      <c r="W31" s="103" t="str">
        <f t="shared" si="20"/>
        <v/>
      </c>
      <c r="X31" s="103" t="str">
        <f t="shared" si="21"/>
        <v/>
      </c>
      <c r="Y31" s="100" t="str">
        <f t="shared" si="22"/>
        <v/>
      </c>
      <c r="Z31" s="100" t="str">
        <f t="shared" si="23"/>
        <v/>
      </c>
      <c r="AA31" s="100" t="e">
        <f t="shared" si="24"/>
        <v>#VALUE!</v>
      </c>
      <c r="AB31" s="100" t="e">
        <f t="shared" si="25"/>
        <v>#VALUE!</v>
      </c>
      <c r="AC31" s="100" t="e">
        <f t="shared" si="26"/>
        <v>#VALUE!</v>
      </c>
      <c r="AD31" s="100" t="e">
        <f t="shared" si="27"/>
        <v>#VALUE!</v>
      </c>
      <c r="AE31" s="8" t="str">
        <f t="shared" si="28"/>
        <v/>
      </c>
      <c r="AF31" s="8" t="str">
        <f t="shared" si="29"/>
        <v/>
      </c>
      <c r="AG31" s="7" t="str">
        <f t="shared" si="30"/>
        <v>Good</v>
      </c>
      <c r="AI31" s="100">
        <f t="shared" si="0"/>
        <v>28.926918947000001</v>
      </c>
      <c r="AJ31" s="100">
        <f t="shared" si="1"/>
        <v>47.962230478000002</v>
      </c>
    </row>
    <row r="32" spans="1:36" x14ac:dyDescent="0.2">
      <c r="A32" s="8">
        <v>0.66200000000000003</v>
      </c>
      <c r="B32" s="100">
        <v>28.926772607</v>
      </c>
      <c r="C32" s="100">
        <v>47.961928686999997</v>
      </c>
      <c r="D32" s="101">
        <v>661.52732626808961</v>
      </c>
      <c r="E32" s="42" t="str">
        <f t="shared" si="31"/>
        <v/>
      </c>
      <c r="F32" s="7" t="str">
        <f t="shared" si="3"/>
        <v/>
      </c>
      <c r="G32" s="100" t="str">
        <f t="shared" si="4"/>
        <v/>
      </c>
      <c r="H32" s="100" t="str">
        <f t="shared" si="5"/>
        <v/>
      </c>
      <c r="I32" s="100" t="str">
        <f t="shared" si="6"/>
        <v/>
      </c>
      <c r="J32" s="100" t="str">
        <f t="shared" si="7"/>
        <v/>
      </c>
      <c r="K32" s="102" t="str">
        <f t="shared" si="8"/>
        <v/>
      </c>
      <c r="L32" s="103" t="str">
        <f t="shared" si="9"/>
        <v/>
      </c>
      <c r="M32" s="103" t="str">
        <f t="shared" si="10"/>
        <v/>
      </c>
      <c r="N32" s="103" t="str">
        <f t="shared" si="11"/>
        <v/>
      </c>
      <c r="O32" s="103" t="str">
        <f t="shared" si="12"/>
        <v/>
      </c>
      <c r="P32" s="105" t="str">
        <f t="shared" si="13"/>
        <v/>
      </c>
      <c r="Q32" s="105" t="str">
        <f t="shared" si="14"/>
        <v/>
      </c>
      <c r="R32" s="104" t="str">
        <f t="shared" si="15"/>
        <v/>
      </c>
      <c r="S32" s="104" t="str">
        <f t="shared" si="16"/>
        <v/>
      </c>
      <c r="T32" s="105" t="str">
        <f t="shared" si="17"/>
        <v/>
      </c>
      <c r="U32" s="14" t="str">
        <f t="shared" si="18"/>
        <v/>
      </c>
      <c r="V32" s="14" t="str">
        <f t="shared" si="19"/>
        <v/>
      </c>
      <c r="W32" s="103" t="str">
        <f t="shared" si="20"/>
        <v/>
      </c>
      <c r="X32" s="103" t="str">
        <f t="shared" si="21"/>
        <v/>
      </c>
      <c r="Y32" s="100" t="str">
        <f t="shared" si="22"/>
        <v/>
      </c>
      <c r="Z32" s="100" t="str">
        <f t="shared" si="23"/>
        <v/>
      </c>
      <c r="AA32" s="100" t="e">
        <f t="shared" si="24"/>
        <v>#VALUE!</v>
      </c>
      <c r="AB32" s="100" t="e">
        <f t="shared" si="25"/>
        <v>#VALUE!</v>
      </c>
      <c r="AC32" s="100" t="e">
        <f t="shared" si="26"/>
        <v>#VALUE!</v>
      </c>
      <c r="AD32" s="100" t="e">
        <f t="shared" si="27"/>
        <v>#VALUE!</v>
      </c>
      <c r="AE32" s="8" t="str">
        <f t="shared" si="28"/>
        <v/>
      </c>
      <c r="AF32" s="8" t="str">
        <f t="shared" si="29"/>
        <v/>
      </c>
      <c r="AG32" s="7" t="str">
        <f t="shared" si="30"/>
        <v>Good</v>
      </c>
      <c r="AI32" s="100">
        <f t="shared" si="0"/>
        <v>28.926772607</v>
      </c>
      <c r="AJ32" s="100">
        <f t="shared" si="1"/>
        <v>47.961928686999997</v>
      </c>
    </row>
    <row r="33" spans="1:36" x14ac:dyDescent="0.2">
      <c r="A33" s="8">
        <v>0.68799999999999994</v>
      </c>
      <c r="B33" s="100">
        <v>28.926967187999999</v>
      </c>
      <c r="C33" s="100">
        <v>47.961780453000003</v>
      </c>
      <c r="D33" s="101">
        <v>687.51473545802662</v>
      </c>
      <c r="E33" s="42" t="str">
        <f t="shared" si="31"/>
        <v/>
      </c>
      <c r="F33" s="7" t="str">
        <f t="shared" si="3"/>
        <v/>
      </c>
      <c r="G33" s="100" t="str">
        <f t="shared" si="4"/>
        <v/>
      </c>
      <c r="H33" s="100" t="str">
        <f t="shared" si="5"/>
        <v/>
      </c>
      <c r="I33" s="100" t="str">
        <f t="shared" si="6"/>
        <v/>
      </c>
      <c r="J33" s="100" t="str">
        <f t="shared" si="7"/>
        <v/>
      </c>
      <c r="K33" s="102" t="str">
        <f t="shared" si="8"/>
        <v/>
      </c>
      <c r="L33" s="103" t="str">
        <f t="shared" si="9"/>
        <v/>
      </c>
      <c r="M33" s="103" t="str">
        <f t="shared" si="10"/>
        <v/>
      </c>
      <c r="N33" s="103" t="str">
        <f t="shared" si="11"/>
        <v/>
      </c>
      <c r="O33" s="103" t="str">
        <f t="shared" si="12"/>
        <v/>
      </c>
      <c r="P33" s="105" t="str">
        <f t="shared" si="13"/>
        <v/>
      </c>
      <c r="Q33" s="105" t="str">
        <f t="shared" si="14"/>
        <v/>
      </c>
      <c r="R33" s="104" t="str">
        <f t="shared" si="15"/>
        <v/>
      </c>
      <c r="S33" s="104" t="str">
        <f t="shared" si="16"/>
        <v/>
      </c>
      <c r="T33" s="105" t="str">
        <f t="shared" si="17"/>
        <v/>
      </c>
      <c r="U33" s="14" t="str">
        <f t="shared" si="18"/>
        <v/>
      </c>
      <c r="V33" s="14" t="str">
        <f t="shared" si="19"/>
        <v/>
      </c>
      <c r="W33" s="103" t="str">
        <f t="shared" si="20"/>
        <v/>
      </c>
      <c r="X33" s="103" t="str">
        <f t="shared" si="21"/>
        <v/>
      </c>
      <c r="Y33" s="100" t="str">
        <f t="shared" si="22"/>
        <v/>
      </c>
      <c r="Z33" s="100" t="str">
        <f t="shared" si="23"/>
        <v/>
      </c>
      <c r="AA33" s="100" t="e">
        <f t="shared" si="24"/>
        <v>#VALUE!</v>
      </c>
      <c r="AB33" s="100" t="e">
        <f t="shared" si="25"/>
        <v>#VALUE!</v>
      </c>
      <c r="AC33" s="100" t="e">
        <f t="shared" si="26"/>
        <v>#VALUE!</v>
      </c>
      <c r="AD33" s="100" t="e">
        <f t="shared" si="27"/>
        <v>#VALUE!</v>
      </c>
      <c r="AE33" s="8" t="str">
        <f t="shared" si="28"/>
        <v/>
      </c>
      <c r="AF33" s="8" t="str">
        <f t="shared" si="29"/>
        <v/>
      </c>
      <c r="AG33" s="7" t="str">
        <f t="shared" si="30"/>
        <v>Good</v>
      </c>
      <c r="AI33" s="100">
        <f t="shared" si="0"/>
        <v>28.926967187999999</v>
      </c>
      <c r="AJ33" s="100">
        <f t="shared" si="1"/>
        <v>47.961780453000003</v>
      </c>
    </row>
    <row r="34" spans="1:36" x14ac:dyDescent="0.2">
      <c r="A34" s="8">
        <v>0.69799999999999995</v>
      </c>
      <c r="B34" s="100">
        <v>28.926988114</v>
      </c>
      <c r="C34" s="100">
        <v>47.961671197000001</v>
      </c>
      <c r="D34" s="101">
        <v>698.39269067963141</v>
      </c>
      <c r="E34" s="42" t="str">
        <f t="shared" si="31"/>
        <v/>
      </c>
      <c r="F34" s="7" t="str">
        <f t="shared" si="3"/>
        <v/>
      </c>
      <c r="G34" s="100" t="str">
        <f t="shared" si="4"/>
        <v/>
      </c>
      <c r="H34" s="100" t="str">
        <f t="shared" si="5"/>
        <v/>
      </c>
      <c r="I34" s="100" t="str">
        <f t="shared" si="6"/>
        <v/>
      </c>
      <c r="J34" s="100" t="str">
        <f t="shared" si="7"/>
        <v/>
      </c>
      <c r="K34" s="102" t="str">
        <f t="shared" si="8"/>
        <v/>
      </c>
      <c r="L34" s="103" t="str">
        <f t="shared" si="9"/>
        <v/>
      </c>
      <c r="M34" s="103" t="str">
        <f t="shared" si="10"/>
        <v/>
      </c>
      <c r="N34" s="103" t="str">
        <f t="shared" si="11"/>
        <v/>
      </c>
      <c r="O34" s="103" t="str">
        <f t="shared" si="12"/>
        <v/>
      </c>
      <c r="P34" s="105" t="str">
        <f t="shared" si="13"/>
        <v/>
      </c>
      <c r="Q34" s="105" t="str">
        <f t="shared" si="14"/>
        <v/>
      </c>
      <c r="R34" s="104" t="str">
        <f t="shared" si="15"/>
        <v/>
      </c>
      <c r="S34" s="104" t="str">
        <f t="shared" si="16"/>
        <v/>
      </c>
      <c r="T34" s="105" t="str">
        <f t="shared" si="17"/>
        <v/>
      </c>
      <c r="U34" s="14" t="str">
        <f t="shared" si="18"/>
        <v/>
      </c>
      <c r="V34" s="14" t="str">
        <f t="shared" si="19"/>
        <v/>
      </c>
      <c r="W34" s="103" t="str">
        <f t="shared" si="20"/>
        <v/>
      </c>
      <c r="X34" s="103" t="str">
        <f t="shared" si="21"/>
        <v/>
      </c>
      <c r="Y34" s="100" t="str">
        <f t="shared" si="22"/>
        <v/>
      </c>
      <c r="Z34" s="100" t="str">
        <f t="shared" si="23"/>
        <v/>
      </c>
      <c r="AA34" s="100" t="e">
        <f t="shared" si="24"/>
        <v>#VALUE!</v>
      </c>
      <c r="AB34" s="100" t="e">
        <f t="shared" si="25"/>
        <v>#VALUE!</v>
      </c>
      <c r="AC34" s="100" t="e">
        <f t="shared" si="26"/>
        <v>#VALUE!</v>
      </c>
      <c r="AD34" s="100" t="e">
        <f t="shared" si="27"/>
        <v>#VALUE!</v>
      </c>
      <c r="AE34" s="8" t="str">
        <f t="shared" si="28"/>
        <v/>
      </c>
      <c r="AF34" s="8" t="str">
        <f t="shared" si="29"/>
        <v/>
      </c>
      <c r="AG34" s="7" t="str">
        <f t="shared" si="30"/>
        <v>Good</v>
      </c>
      <c r="AI34" s="100">
        <f t="shared" si="0"/>
        <v>28.926988114</v>
      </c>
      <c r="AJ34" s="100">
        <f t="shared" si="1"/>
        <v>47.961671197000001</v>
      </c>
    </row>
    <row r="35" spans="1:36" x14ac:dyDescent="0.2">
      <c r="A35" s="8">
        <v>0.71499999999999997</v>
      </c>
      <c r="B35" s="100">
        <v>28.926994896</v>
      </c>
      <c r="C35" s="100">
        <v>47.961503825000001</v>
      </c>
      <c r="D35" s="101">
        <v>714.68816570149033</v>
      </c>
      <c r="E35" s="42" t="str">
        <f t="shared" si="31"/>
        <v/>
      </c>
      <c r="F35" s="7" t="str">
        <f t="shared" si="3"/>
        <v/>
      </c>
      <c r="G35" s="100" t="str">
        <f t="shared" si="4"/>
        <v/>
      </c>
      <c r="H35" s="100" t="str">
        <f t="shared" si="5"/>
        <v/>
      </c>
      <c r="I35" s="100" t="str">
        <f t="shared" si="6"/>
        <v/>
      </c>
      <c r="J35" s="100" t="str">
        <f t="shared" si="7"/>
        <v/>
      </c>
      <c r="K35" s="102" t="str">
        <f t="shared" si="8"/>
        <v/>
      </c>
      <c r="L35" s="103" t="str">
        <f t="shared" si="9"/>
        <v/>
      </c>
      <c r="M35" s="103" t="str">
        <f t="shared" si="10"/>
        <v/>
      </c>
      <c r="N35" s="103" t="str">
        <f t="shared" si="11"/>
        <v/>
      </c>
      <c r="O35" s="103" t="str">
        <f t="shared" si="12"/>
        <v/>
      </c>
      <c r="P35" s="105" t="str">
        <f t="shared" si="13"/>
        <v/>
      </c>
      <c r="Q35" s="105" t="str">
        <f t="shared" si="14"/>
        <v/>
      </c>
      <c r="R35" s="104" t="str">
        <f t="shared" si="15"/>
        <v/>
      </c>
      <c r="S35" s="104" t="str">
        <f t="shared" si="16"/>
        <v/>
      </c>
      <c r="T35" s="105" t="str">
        <f t="shared" si="17"/>
        <v/>
      </c>
      <c r="U35" s="14" t="str">
        <f t="shared" si="18"/>
        <v/>
      </c>
      <c r="V35" s="14" t="str">
        <f t="shared" si="19"/>
        <v/>
      </c>
      <c r="W35" s="103" t="str">
        <f t="shared" si="20"/>
        <v/>
      </c>
      <c r="X35" s="103" t="str">
        <f t="shared" si="21"/>
        <v/>
      </c>
      <c r="Y35" s="100" t="str">
        <f t="shared" si="22"/>
        <v/>
      </c>
      <c r="Z35" s="100" t="str">
        <f t="shared" si="23"/>
        <v/>
      </c>
      <c r="AA35" s="100" t="e">
        <f t="shared" si="24"/>
        <v>#VALUE!</v>
      </c>
      <c r="AB35" s="100" t="e">
        <f t="shared" si="25"/>
        <v>#VALUE!</v>
      </c>
      <c r="AC35" s="100" t="e">
        <f t="shared" si="26"/>
        <v>#VALUE!</v>
      </c>
      <c r="AD35" s="100" t="e">
        <f t="shared" si="27"/>
        <v>#VALUE!</v>
      </c>
      <c r="AE35" s="8" t="str">
        <f t="shared" si="28"/>
        <v/>
      </c>
      <c r="AF35" s="8" t="str">
        <f t="shared" si="29"/>
        <v/>
      </c>
      <c r="AG35" s="7" t="str">
        <f t="shared" si="30"/>
        <v>Good</v>
      </c>
      <c r="AI35" s="100">
        <f t="shared" si="0"/>
        <v>28.926994896</v>
      </c>
      <c r="AJ35" s="100">
        <f t="shared" si="1"/>
        <v>47.961503825000001</v>
      </c>
    </row>
    <row r="36" spans="1:36" x14ac:dyDescent="0.2">
      <c r="A36" s="8">
        <v>0.83</v>
      </c>
      <c r="B36" s="100">
        <v>28.927135481000001</v>
      </c>
      <c r="C36" s="100">
        <v>47.960327650000004</v>
      </c>
      <c r="D36" s="101">
        <v>830.13997966377156</v>
      </c>
      <c r="E36" s="42" t="str">
        <f t="shared" si="31"/>
        <v/>
      </c>
      <c r="F36" s="7" t="str">
        <f t="shared" si="3"/>
        <v/>
      </c>
      <c r="G36" s="100" t="str">
        <f t="shared" si="4"/>
        <v/>
      </c>
      <c r="H36" s="100" t="str">
        <f t="shared" si="5"/>
        <v/>
      </c>
      <c r="I36" s="100" t="str">
        <f t="shared" si="6"/>
        <v/>
      </c>
      <c r="J36" s="100" t="str">
        <f t="shared" si="7"/>
        <v/>
      </c>
      <c r="K36" s="102" t="str">
        <f t="shared" si="8"/>
        <v/>
      </c>
      <c r="L36" s="103" t="str">
        <f t="shared" si="9"/>
        <v/>
      </c>
      <c r="M36" s="103" t="str">
        <f t="shared" si="10"/>
        <v/>
      </c>
      <c r="N36" s="103" t="str">
        <f t="shared" si="11"/>
        <v/>
      </c>
      <c r="O36" s="103" t="str">
        <f t="shared" si="12"/>
        <v/>
      </c>
      <c r="P36" s="105" t="str">
        <f t="shared" si="13"/>
        <v/>
      </c>
      <c r="Q36" s="105" t="str">
        <f t="shared" si="14"/>
        <v/>
      </c>
      <c r="R36" s="104" t="str">
        <f t="shared" si="15"/>
        <v/>
      </c>
      <c r="S36" s="104" t="str">
        <f t="shared" si="16"/>
        <v/>
      </c>
      <c r="T36" s="105" t="str">
        <f t="shared" si="17"/>
        <v/>
      </c>
      <c r="U36" s="14" t="str">
        <f t="shared" si="18"/>
        <v/>
      </c>
      <c r="V36" s="14" t="str">
        <f t="shared" si="19"/>
        <v/>
      </c>
      <c r="W36" s="103" t="str">
        <f t="shared" si="20"/>
        <v/>
      </c>
      <c r="X36" s="103" t="str">
        <f t="shared" si="21"/>
        <v/>
      </c>
      <c r="Y36" s="100" t="str">
        <f t="shared" si="22"/>
        <v/>
      </c>
      <c r="Z36" s="100" t="str">
        <f t="shared" si="23"/>
        <v/>
      </c>
      <c r="AA36" s="100" t="e">
        <f t="shared" si="24"/>
        <v>#VALUE!</v>
      </c>
      <c r="AB36" s="100" t="e">
        <f t="shared" si="25"/>
        <v>#VALUE!</v>
      </c>
      <c r="AC36" s="100" t="e">
        <f t="shared" si="26"/>
        <v>#VALUE!</v>
      </c>
      <c r="AD36" s="100" t="e">
        <f t="shared" si="27"/>
        <v>#VALUE!</v>
      </c>
      <c r="AE36" s="8" t="str">
        <f t="shared" si="28"/>
        <v/>
      </c>
      <c r="AF36" s="8" t="str">
        <f t="shared" si="29"/>
        <v/>
      </c>
      <c r="AG36" s="7" t="str">
        <f t="shared" si="30"/>
        <v>Good</v>
      </c>
      <c r="AI36" s="100">
        <f t="shared" si="0"/>
        <v>28.927135481000001</v>
      </c>
      <c r="AJ36" s="100">
        <f t="shared" si="1"/>
        <v>47.960327650000004</v>
      </c>
    </row>
    <row r="37" spans="1:36" x14ac:dyDescent="0.2">
      <c r="A37" s="8">
        <v>0.874</v>
      </c>
      <c r="B37" s="100">
        <v>28.927180058000001</v>
      </c>
      <c r="C37" s="100">
        <v>47.959884223000003</v>
      </c>
      <c r="D37" s="101">
        <v>873.54928784339336</v>
      </c>
      <c r="E37" s="42" t="str">
        <f t="shared" si="31"/>
        <v/>
      </c>
      <c r="F37" s="7" t="str">
        <f t="shared" si="3"/>
        <v/>
      </c>
      <c r="G37" s="100" t="str">
        <f t="shared" si="4"/>
        <v/>
      </c>
      <c r="H37" s="100" t="str">
        <f t="shared" si="5"/>
        <v/>
      </c>
      <c r="I37" s="100" t="str">
        <f t="shared" si="6"/>
        <v/>
      </c>
      <c r="J37" s="100" t="str">
        <f t="shared" si="7"/>
        <v/>
      </c>
      <c r="K37" s="102" t="str">
        <f t="shared" si="8"/>
        <v/>
      </c>
      <c r="L37" s="103" t="str">
        <f t="shared" si="9"/>
        <v/>
      </c>
      <c r="M37" s="103" t="str">
        <f t="shared" si="10"/>
        <v/>
      </c>
      <c r="N37" s="103" t="str">
        <f t="shared" si="11"/>
        <v/>
      </c>
      <c r="O37" s="103" t="str">
        <f t="shared" si="12"/>
        <v/>
      </c>
      <c r="P37" s="105" t="str">
        <f t="shared" si="13"/>
        <v/>
      </c>
      <c r="Q37" s="105" t="str">
        <f t="shared" si="14"/>
        <v/>
      </c>
      <c r="R37" s="104" t="str">
        <f t="shared" si="15"/>
        <v/>
      </c>
      <c r="S37" s="104" t="str">
        <f t="shared" si="16"/>
        <v/>
      </c>
      <c r="T37" s="105" t="str">
        <f t="shared" si="17"/>
        <v/>
      </c>
      <c r="U37" s="14" t="str">
        <f t="shared" si="18"/>
        <v/>
      </c>
      <c r="V37" s="14" t="str">
        <f t="shared" si="19"/>
        <v/>
      </c>
      <c r="W37" s="103" t="str">
        <f t="shared" si="20"/>
        <v/>
      </c>
      <c r="X37" s="103" t="str">
        <f t="shared" si="21"/>
        <v/>
      </c>
      <c r="Y37" s="100" t="str">
        <f t="shared" si="22"/>
        <v/>
      </c>
      <c r="Z37" s="100" t="str">
        <f t="shared" si="23"/>
        <v/>
      </c>
      <c r="AA37" s="100" t="e">
        <f t="shared" si="24"/>
        <v>#VALUE!</v>
      </c>
      <c r="AB37" s="100" t="e">
        <f t="shared" si="25"/>
        <v>#VALUE!</v>
      </c>
      <c r="AC37" s="100" t="e">
        <f t="shared" si="26"/>
        <v>#VALUE!</v>
      </c>
      <c r="AD37" s="100" t="e">
        <f t="shared" si="27"/>
        <v>#VALUE!</v>
      </c>
      <c r="AE37" s="8" t="str">
        <f t="shared" si="28"/>
        <v/>
      </c>
      <c r="AF37" s="8" t="str">
        <f t="shared" si="29"/>
        <v/>
      </c>
      <c r="AG37" s="7" t="str">
        <f t="shared" si="30"/>
        <v>Good</v>
      </c>
      <c r="AI37" s="100">
        <f t="shared" si="0"/>
        <v>28.927180058000001</v>
      </c>
      <c r="AJ37" s="100">
        <f t="shared" si="1"/>
        <v>47.959884223000003</v>
      </c>
    </row>
    <row r="38" spans="1:36" x14ac:dyDescent="0.2">
      <c r="A38" s="8">
        <v>0.88800000000000001</v>
      </c>
      <c r="B38" s="100">
        <v>28.927202471000001</v>
      </c>
      <c r="C38" s="100">
        <v>47.959740019999998</v>
      </c>
      <c r="D38" s="101">
        <v>887.79291263139578</v>
      </c>
      <c r="E38" s="42" t="str">
        <f t="shared" si="31"/>
        <v/>
      </c>
      <c r="F38" s="7" t="str">
        <f t="shared" si="3"/>
        <v/>
      </c>
      <c r="G38" s="100" t="str">
        <f t="shared" si="4"/>
        <v/>
      </c>
      <c r="H38" s="100" t="str">
        <f t="shared" si="5"/>
        <v/>
      </c>
      <c r="I38" s="100" t="str">
        <f t="shared" si="6"/>
        <v/>
      </c>
      <c r="J38" s="100" t="str">
        <f t="shared" si="7"/>
        <v/>
      </c>
      <c r="K38" s="102" t="str">
        <f t="shared" si="8"/>
        <v/>
      </c>
      <c r="L38" s="103" t="str">
        <f t="shared" si="9"/>
        <v/>
      </c>
      <c r="M38" s="103" t="str">
        <f t="shared" si="10"/>
        <v/>
      </c>
      <c r="N38" s="103" t="str">
        <f t="shared" si="11"/>
        <v/>
      </c>
      <c r="O38" s="103" t="str">
        <f t="shared" si="12"/>
        <v/>
      </c>
      <c r="P38" s="105" t="str">
        <f t="shared" si="13"/>
        <v/>
      </c>
      <c r="Q38" s="105" t="str">
        <f t="shared" si="14"/>
        <v/>
      </c>
      <c r="R38" s="104" t="str">
        <f t="shared" si="15"/>
        <v/>
      </c>
      <c r="S38" s="104" t="str">
        <f t="shared" si="16"/>
        <v/>
      </c>
      <c r="T38" s="105" t="str">
        <f t="shared" si="17"/>
        <v/>
      </c>
      <c r="U38" s="14" t="str">
        <f t="shared" si="18"/>
        <v/>
      </c>
      <c r="V38" s="14" t="str">
        <f t="shared" si="19"/>
        <v/>
      </c>
      <c r="W38" s="103" t="str">
        <f t="shared" si="20"/>
        <v/>
      </c>
      <c r="X38" s="103" t="str">
        <f t="shared" si="21"/>
        <v/>
      </c>
      <c r="Y38" s="100" t="str">
        <f t="shared" si="22"/>
        <v/>
      </c>
      <c r="Z38" s="100" t="str">
        <f t="shared" si="23"/>
        <v/>
      </c>
      <c r="AA38" s="100" t="e">
        <f t="shared" si="24"/>
        <v>#VALUE!</v>
      </c>
      <c r="AB38" s="100" t="e">
        <f t="shared" si="25"/>
        <v>#VALUE!</v>
      </c>
      <c r="AC38" s="100" t="e">
        <f t="shared" si="26"/>
        <v>#VALUE!</v>
      </c>
      <c r="AD38" s="100" t="e">
        <f t="shared" si="27"/>
        <v>#VALUE!</v>
      </c>
      <c r="AE38" s="8" t="str">
        <f t="shared" si="28"/>
        <v/>
      </c>
      <c r="AF38" s="8" t="str">
        <f t="shared" si="29"/>
        <v/>
      </c>
      <c r="AG38" s="7" t="str">
        <f t="shared" si="30"/>
        <v>Good</v>
      </c>
      <c r="AI38" s="100">
        <f t="shared" si="0"/>
        <v>28.927202471000001</v>
      </c>
      <c r="AJ38" s="100">
        <f t="shared" si="1"/>
        <v>47.959740019999998</v>
      </c>
    </row>
    <row r="39" spans="1:36" x14ac:dyDescent="0.2">
      <c r="A39" s="8">
        <v>0.92900000000000005</v>
      </c>
      <c r="B39" s="100">
        <v>28.927212698000002</v>
      </c>
      <c r="C39" s="100">
        <v>47.959317046000002</v>
      </c>
      <c r="D39" s="101">
        <v>928.94532315807533</v>
      </c>
      <c r="E39" s="42" t="str">
        <f t="shared" si="31"/>
        <v/>
      </c>
      <c r="F39" s="7" t="str">
        <f t="shared" si="3"/>
        <v/>
      </c>
      <c r="G39" s="100" t="str">
        <f t="shared" si="4"/>
        <v/>
      </c>
      <c r="H39" s="100" t="str">
        <f t="shared" si="5"/>
        <v/>
      </c>
      <c r="I39" s="100" t="str">
        <f t="shared" si="6"/>
        <v/>
      </c>
      <c r="J39" s="100" t="str">
        <f t="shared" si="7"/>
        <v/>
      </c>
      <c r="K39" s="102" t="str">
        <f t="shared" si="8"/>
        <v/>
      </c>
      <c r="L39" s="103" t="str">
        <f t="shared" si="9"/>
        <v/>
      </c>
      <c r="M39" s="103" t="str">
        <f t="shared" si="10"/>
        <v/>
      </c>
      <c r="N39" s="103" t="str">
        <f t="shared" si="11"/>
        <v/>
      </c>
      <c r="O39" s="103" t="str">
        <f t="shared" si="12"/>
        <v/>
      </c>
      <c r="P39" s="105" t="str">
        <f t="shared" si="13"/>
        <v/>
      </c>
      <c r="Q39" s="105" t="str">
        <f t="shared" si="14"/>
        <v/>
      </c>
      <c r="R39" s="104" t="str">
        <f t="shared" si="15"/>
        <v/>
      </c>
      <c r="S39" s="104" t="str">
        <f t="shared" si="16"/>
        <v/>
      </c>
      <c r="T39" s="105" t="str">
        <f t="shared" si="17"/>
        <v/>
      </c>
      <c r="U39" s="14" t="str">
        <f t="shared" si="18"/>
        <v/>
      </c>
      <c r="V39" s="14" t="str">
        <f t="shared" si="19"/>
        <v/>
      </c>
      <c r="W39" s="103" t="str">
        <f t="shared" si="20"/>
        <v/>
      </c>
      <c r="X39" s="103" t="str">
        <f t="shared" si="21"/>
        <v/>
      </c>
      <c r="Y39" s="100" t="str">
        <f t="shared" si="22"/>
        <v/>
      </c>
      <c r="Z39" s="100" t="str">
        <f t="shared" si="23"/>
        <v/>
      </c>
      <c r="AA39" s="100" t="e">
        <f t="shared" si="24"/>
        <v>#VALUE!</v>
      </c>
      <c r="AB39" s="100" t="e">
        <f t="shared" si="25"/>
        <v>#VALUE!</v>
      </c>
      <c r="AC39" s="100" t="e">
        <f t="shared" si="26"/>
        <v>#VALUE!</v>
      </c>
      <c r="AD39" s="100" t="e">
        <f t="shared" si="27"/>
        <v>#VALUE!</v>
      </c>
      <c r="AE39" s="8" t="str">
        <f t="shared" si="28"/>
        <v/>
      </c>
      <c r="AF39" s="8" t="str">
        <f t="shared" si="29"/>
        <v/>
      </c>
      <c r="AG39" s="7" t="str">
        <f t="shared" si="30"/>
        <v>Good</v>
      </c>
      <c r="AI39" s="100">
        <f t="shared" si="0"/>
        <v>28.927212698000002</v>
      </c>
      <c r="AJ39" s="100">
        <f t="shared" si="1"/>
        <v>47.959317046000002</v>
      </c>
    </row>
    <row r="40" spans="1:36" x14ac:dyDescent="0.2">
      <c r="A40" s="8">
        <v>1.042</v>
      </c>
      <c r="D40" s="101">
        <v>1042</v>
      </c>
      <c r="E40" s="42">
        <f t="shared" si="31"/>
        <v>113.05467684192467</v>
      </c>
      <c r="F40" s="7">
        <f t="shared" si="3"/>
        <v>1</v>
      </c>
      <c r="G40" s="100">
        <f t="shared" si="4"/>
        <v>28.927212698000002</v>
      </c>
      <c r="H40" s="100">
        <f t="shared" si="5"/>
        <v>47.959317046000002</v>
      </c>
      <c r="I40" s="100">
        <f t="shared" si="6"/>
        <v>28.92738052</v>
      </c>
      <c r="J40" s="100">
        <f t="shared" si="7"/>
        <v>47.958161511999997</v>
      </c>
      <c r="K40" s="102">
        <f t="shared" si="8"/>
        <v>38</v>
      </c>
      <c r="L40" s="103">
        <f t="shared" si="9"/>
        <v>3203527.3874845379</v>
      </c>
      <c r="M40" s="103">
        <f t="shared" si="10"/>
        <v>788507.71745955804</v>
      </c>
      <c r="N40" s="103">
        <f t="shared" si="11"/>
        <v>3203543.1760361851</v>
      </c>
      <c r="O40" s="103">
        <f t="shared" si="12"/>
        <v>788394.54420297348</v>
      </c>
      <c r="P40" s="105">
        <f t="shared" si="13"/>
        <v>15.788551647216082</v>
      </c>
      <c r="Q40" s="105">
        <f t="shared" si="14"/>
        <v>-113.17325658455957</v>
      </c>
      <c r="R40" s="104">
        <f t="shared" si="15"/>
        <v>114.26926257341195</v>
      </c>
      <c r="S40" s="104" t="str">
        <f t="shared" si="16"/>
        <v>NW</v>
      </c>
      <c r="T40" s="105">
        <f t="shared" si="17"/>
        <v>0.138613167116269</v>
      </c>
      <c r="U40" s="14">
        <f t="shared" si="18"/>
        <v>-111.97032047087593</v>
      </c>
      <c r="V40" s="14">
        <f t="shared" si="19"/>
        <v>15.620732680683076</v>
      </c>
      <c r="W40" s="103">
        <f t="shared" si="20"/>
        <v>3203543.0082172188</v>
      </c>
      <c r="X40" s="103">
        <f t="shared" si="21"/>
        <v>788395.74713908718</v>
      </c>
      <c r="Y40" s="100">
        <f t="shared" si="22"/>
        <v>28.927378714959847</v>
      </c>
      <c r="Z40" s="100">
        <f t="shared" si="23"/>
        <v>47.958173796196263</v>
      </c>
      <c r="AA40" s="100">
        <f t="shared" si="24"/>
        <v>-1.6601695984519438E-4</v>
      </c>
      <c r="AB40" s="100">
        <f t="shared" si="25"/>
        <v>-1.8050401529023929E-6</v>
      </c>
      <c r="AC40" s="100">
        <f t="shared" si="26"/>
        <v>1.1432498037393657E-3</v>
      </c>
      <c r="AD40" s="100">
        <f t="shared" si="27"/>
        <v>1.2284196266421077E-5</v>
      </c>
      <c r="AE40" s="8" t="str">
        <f t="shared" si="28"/>
        <v>Good</v>
      </c>
      <c r="AF40" s="8" t="str">
        <f t="shared" si="29"/>
        <v>Good</v>
      </c>
      <c r="AG40" s="7" t="str">
        <f t="shared" si="30"/>
        <v>Good</v>
      </c>
      <c r="AI40" s="100">
        <f t="shared" si="0"/>
        <v>28.927378714959847</v>
      </c>
      <c r="AJ40" s="100">
        <f t="shared" si="1"/>
        <v>47.958173796196263</v>
      </c>
    </row>
    <row r="41" spans="1:36" x14ac:dyDescent="0.2">
      <c r="A41" s="8">
        <v>1.0429999999999999</v>
      </c>
      <c r="B41" s="100">
        <v>28.92738052</v>
      </c>
      <c r="C41" s="100">
        <v>47.958161511999997</v>
      </c>
      <c r="D41" s="101">
        <v>1042.8644208452038</v>
      </c>
      <c r="E41" s="42" t="str">
        <f t="shared" si="31"/>
        <v/>
      </c>
      <c r="F41" s="7" t="str">
        <f t="shared" si="3"/>
        <v/>
      </c>
      <c r="G41" s="100" t="str">
        <f t="shared" si="4"/>
        <v/>
      </c>
      <c r="H41" s="100" t="str">
        <f t="shared" si="5"/>
        <v/>
      </c>
      <c r="I41" s="100" t="str">
        <f t="shared" si="6"/>
        <v/>
      </c>
      <c r="J41" s="100" t="str">
        <f t="shared" si="7"/>
        <v/>
      </c>
      <c r="K41" s="102" t="str">
        <f t="shared" si="8"/>
        <v/>
      </c>
      <c r="L41" s="103" t="str">
        <f t="shared" si="9"/>
        <v/>
      </c>
      <c r="M41" s="103" t="str">
        <f t="shared" si="10"/>
        <v/>
      </c>
      <c r="N41" s="103" t="str">
        <f t="shared" si="11"/>
        <v/>
      </c>
      <c r="O41" s="103" t="str">
        <f t="shared" si="12"/>
        <v/>
      </c>
      <c r="P41" s="105" t="str">
        <f t="shared" si="13"/>
        <v/>
      </c>
      <c r="Q41" s="105" t="str">
        <f t="shared" si="14"/>
        <v/>
      </c>
      <c r="R41" s="104" t="str">
        <f t="shared" si="15"/>
        <v/>
      </c>
      <c r="S41" s="104" t="str">
        <f t="shared" si="16"/>
        <v/>
      </c>
      <c r="T41" s="105" t="str">
        <f t="shared" si="17"/>
        <v/>
      </c>
      <c r="U41" s="14" t="str">
        <f t="shared" si="18"/>
        <v/>
      </c>
      <c r="V41" s="14" t="str">
        <f t="shared" si="19"/>
        <v/>
      </c>
      <c r="W41" s="103" t="str">
        <f t="shared" si="20"/>
        <v/>
      </c>
      <c r="X41" s="103" t="str">
        <f t="shared" si="21"/>
        <v/>
      </c>
      <c r="Y41" s="100" t="str">
        <f t="shared" si="22"/>
        <v/>
      </c>
      <c r="Z41" s="100" t="str">
        <f t="shared" si="23"/>
        <v/>
      </c>
      <c r="AA41" s="100" t="e">
        <f t="shared" si="24"/>
        <v>#VALUE!</v>
      </c>
      <c r="AB41" s="100" t="e">
        <f t="shared" si="25"/>
        <v>#VALUE!</v>
      </c>
      <c r="AC41" s="100" t="e">
        <f t="shared" si="26"/>
        <v>#VALUE!</v>
      </c>
      <c r="AD41" s="100" t="e">
        <f t="shared" si="27"/>
        <v>#VALUE!</v>
      </c>
      <c r="AE41" s="8" t="str">
        <f t="shared" si="28"/>
        <v/>
      </c>
      <c r="AF41" s="8" t="str">
        <f t="shared" si="29"/>
        <v/>
      </c>
      <c r="AG41" s="7" t="str">
        <f t="shared" si="30"/>
        <v>Good</v>
      </c>
      <c r="AI41" s="100">
        <f t="shared" si="0"/>
        <v>28.92738052</v>
      </c>
      <c r="AJ41" s="100">
        <f t="shared" si="1"/>
        <v>47.958161511999997</v>
      </c>
    </row>
    <row r="42" spans="1:36" x14ac:dyDescent="0.2">
      <c r="A42" s="8">
        <v>1.1080000000000001</v>
      </c>
      <c r="B42" s="100">
        <v>28.927457747999998</v>
      </c>
      <c r="C42" s="100">
        <v>47.957502308000002</v>
      </c>
      <c r="D42" s="101">
        <v>1107.5475895776221</v>
      </c>
      <c r="E42" s="42" t="str">
        <f t="shared" si="31"/>
        <v/>
      </c>
      <c r="F42" s="7" t="str">
        <f t="shared" si="3"/>
        <v/>
      </c>
      <c r="G42" s="100" t="str">
        <f t="shared" si="4"/>
        <v/>
      </c>
      <c r="H42" s="100" t="str">
        <f t="shared" si="5"/>
        <v/>
      </c>
      <c r="I42" s="100" t="str">
        <f t="shared" si="6"/>
        <v/>
      </c>
      <c r="J42" s="100" t="str">
        <f t="shared" si="7"/>
        <v/>
      </c>
      <c r="K42" s="102" t="str">
        <f t="shared" si="8"/>
        <v/>
      </c>
      <c r="L42" s="103" t="str">
        <f t="shared" si="9"/>
        <v/>
      </c>
      <c r="M42" s="103" t="str">
        <f t="shared" si="10"/>
        <v/>
      </c>
      <c r="N42" s="103" t="str">
        <f t="shared" si="11"/>
        <v/>
      </c>
      <c r="O42" s="103" t="str">
        <f t="shared" si="12"/>
        <v/>
      </c>
      <c r="P42" s="105" t="str">
        <f t="shared" si="13"/>
        <v/>
      </c>
      <c r="Q42" s="105" t="str">
        <f t="shared" si="14"/>
        <v/>
      </c>
      <c r="R42" s="104" t="str">
        <f t="shared" si="15"/>
        <v/>
      </c>
      <c r="S42" s="104" t="str">
        <f t="shared" si="16"/>
        <v/>
      </c>
      <c r="T42" s="105" t="str">
        <f t="shared" si="17"/>
        <v/>
      </c>
      <c r="U42" s="14" t="str">
        <f t="shared" si="18"/>
        <v/>
      </c>
      <c r="V42" s="14" t="str">
        <f t="shared" si="19"/>
        <v/>
      </c>
      <c r="W42" s="103" t="str">
        <f t="shared" si="20"/>
        <v/>
      </c>
      <c r="X42" s="103" t="str">
        <f t="shared" si="21"/>
        <v/>
      </c>
      <c r="Y42" s="100" t="str">
        <f t="shared" si="22"/>
        <v/>
      </c>
      <c r="Z42" s="100" t="str">
        <f t="shared" si="23"/>
        <v/>
      </c>
      <c r="AA42" s="100" t="e">
        <f t="shared" si="24"/>
        <v>#VALUE!</v>
      </c>
      <c r="AB42" s="100" t="e">
        <f t="shared" si="25"/>
        <v>#VALUE!</v>
      </c>
      <c r="AC42" s="100" t="e">
        <f t="shared" si="26"/>
        <v>#VALUE!</v>
      </c>
      <c r="AD42" s="100" t="e">
        <f t="shared" si="27"/>
        <v>#VALUE!</v>
      </c>
      <c r="AE42" s="8" t="str">
        <f t="shared" si="28"/>
        <v/>
      </c>
      <c r="AF42" s="8" t="str">
        <f t="shared" si="29"/>
        <v/>
      </c>
      <c r="AG42" s="7" t="str">
        <f t="shared" si="30"/>
        <v>Good</v>
      </c>
      <c r="AI42" s="100">
        <f t="shared" si="0"/>
        <v>28.927457747999998</v>
      </c>
      <c r="AJ42" s="100">
        <f t="shared" si="1"/>
        <v>47.957502308000002</v>
      </c>
    </row>
    <row r="43" spans="1:36" x14ac:dyDescent="0.2">
      <c r="A43" s="8">
        <v>1.1890000000000001</v>
      </c>
      <c r="B43" s="100">
        <v>28.927529584999998</v>
      </c>
      <c r="C43" s="100">
        <v>47.956666906000002</v>
      </c>
      <c r="D43" s="101">
        <v>1189.1863621834518</v>
      </c>
      <c r="E43" s="42" t="str">
        <f t="shared" si="31"/>
        <v/>
      </c>
      <c r="F43" s="7" t="str">
        <f t="shared" si="3"/>
        <v/>
      </c>
      <c r="G43" s="100" t="str">
        <f t="shared" si="4"/>
        <v/>
      </c>
      <c r="H43" s="100" t="str">
        <f t="shared" si="5"/>
        <v/>
      </c>
      <c r="I43" s="100" t="str">
        <f t="shared" si="6"/>
        <v/>
      </c>
      <c r="J43" s="100" t="str">
        <f t="shared" si="7"/>
        <v/>
      </c>
      <c r="K43" s="102" t="str">
        <f t="shared" si="8"/>
        <v/>
      </c>
      <c r="L43" s="103" t="str">
        <f t="shared" si="9"/>
        <v/>
      </c>
      <c r="M43" s="103" t="str">
        <f t="shared" si="10"/>
        <v/>
      </c>
      <c r="N43" s="103" t="str">
        <f t="shared" si="11"/>
        <v/>
      </c>
      <c r="O43" s="103" t="str">
        <f t="shared" si="12"/>
        <v/>
      </c>
      <c r="P43" s="105" t="str">
        <f t="shared" si="13"/>
        <v/>
      </c>
      <c r="Q43" s="105" t="str">
        <f t="shared" si="14"/>
        <v/>
      </c>
      <c r="R43" s="104" t="str">
        <f t="shared" si="15"/>
        <v/>
      </c>
      <c r="S43" s="104" t="str">
        <f t="shared" si="16"/>
        <v/>
      </c>
      <c r="T43" s="105" t="str">
        <f t="shared" si="17"/>
        <v/>
      </c>
      <c r="U43" s="14" t="str">
        <f t="shared" si="18"/>
        <v/>
      </c>
      <c r="V43" s="14" t="str">
        <f t="shared" si="19"/>
        <v/>
      </c>
      <c r="W43" s="103" t="str">
        <f t="shared" si="20"/>
        <v/>
      </c>
      <c r="X43" s="103" t="str">
        <f t="shared" si="21"/>
        <v/>
      </c>
      <c r="Y43" s="100" t="str">
        <f t="shared" si="22"/>
        <v/>
      </c>
      <c r="Z43" s="100" t="str">
        <f t="shared" si="23"/>
        <v/>
      </c>
      <c r="AA43" s="100" t="e">
        <f t="shared" si="24"/>
        <v>#VALUE!</v>
      </c>
      <c r="AB43" s="100" t="e">
        <f t="shared" si="25"/>
        <v>#VALUE!</v>
      </c>
      <c r="AC43" s="100" t="e">
        <f t="shared" si="26"/>
        <v>#VALUE!</v>
      </c>
      <c r="AD43" s="100" t="e">
        <f t="shared" si="27"/>
        <v>#VALUE!</v>
      </c>
      <c r="AE43" s="8" t="str">
        <f t="shared" si="28"/>
        <v/>
      </c>
      <c r="AF43" s="8" t="str">
        <f t="shared" si="29"/>
        <v/>
      </c>
      <c r="AG43" s="7" t="str">
        <f t="shared" si="30"/>
        <v>Good</v>
      </c>
      <c r="AI43" s="100">
        <f t="shared" si="0"/>
        <v>28.927529584999998</v>
      </c>
      <c r="AJ43" s="100">
        <f t="shared" si="1"/>
        <v>47.956666906000002</v>
      </c>
    </row>
    <row r="44" spans="1:36" x14ac:dyDescent="0.2">
      <c r="A44" s="8">
        <v>1.226</v>
      </c>
      <c r="B44" s="100">
        <v>28.927637036</v>
      </c>
      <c r="C44" s="100">
        <v>47.956313770000001</v>
      </c>
      <c r="D44" s="101">
        <v>1225.5471268011831</v>
      </c>
      <c r="E44" s="42" t="str">
        <f t="shared" si="31"/>
        <v/>
      </c>
      <c r="F44" s="7" t="str">
        <f t="shared" si="3"/>
        <v/>
      </c>
      <c r="G44" s="100" t="str">
        <f t="shared" si="4"/>
        <v/>
      </c>
      <c r="H44" s="100" t="str">
        <f t="shared" si="5"/>
        <v/>
      </c>
      <c r="I44" s="100" t="str">
        <f t="shared" si="6"/>
        <v/>
      </c>
      <c r="J44" s="100" t="str">
        <f t="shared" si="7"/>
        <v/>
      </c>
      <c r="K44" s="102" t="str">
        <f t="shared" si="8"/>
        <v/>
      </c>
      <c r="L44" s="103" t="str">
        <f t="shared" si="9"/>
        <v/>
      </c>
      <c r="M44" s="103" t="str">
        <f t="shared" si="10"/>
        <v/>
      </c>
      <c r="N44" s="103" t="str">
        <f t="shared" si="11"/>
        <v/>
      </c>
      <c r="O44" s="103" t="str">
        <f t="shared" si="12"/>
        <v/>
      </c>
      <c r="P44" s="105" t="str">
        <f t="shared" si="13"/>
        <v/>
      </c>
      <c r="Q44" s="105" t="str">
        <f t="shared" si="14"/>
        <v/>
      </c>
      <c r="R44" s="104" t="str">
        <f t="shared" si="15"/>
        <v/>
      </c>
      <c r="S44" s="104" t="str">
        <f t="shared" si="16"/>
        <v/>
      </c>
      <c r="T44" s="105" t="str">
        <f t="shared" si="17"/>
        <v/>
      </c>
      <c r="U44" s="14" t="str">
        <f t="shared" si="18"/>
        <v/>
      </c>
      <c r="V44" s="14" t="str">
        <f t="shared" si="19"/>
        <v/>
      </c>
      <c r="W44" s="103" t="str">
        <f t="shared" si="20"/>
        <v/>
      </c>
      <c r="X44" s="103" t="str">
        <f t="shared" si="21"/>
        <v/>
      </c>
      <c r="Y44" s="100" t="str">
        <f t="shared" si="22"/>
        <v/>
      </c>
      <c r="Z44" s="100" t="str">
        <f t="shared" si="23"/>
        <v/>
      </c>
      <c r="AA44" s="100" t="e">
        <f t="shared" si="24"/>
        <v>#VALUE!</v>
      </c>
      <c r="AB44" s="100" t="e">
        <f t="shared" si="25"/>
        <v>#VALUE!</v>
      </c>
      <c r="AC44" s="100" t="e">
        <f t="shared" si="26"/>
        <v>#VALUE!</v>
      </c>
      <c r="AD44" s="100" t="e">
        <f t="shared" si="27"/>
        <v>#VALUE!</v>
      </c>
      <c r="AE44" s="8" t="str">
        <f t="shared" si="28"/>
        <v/>
      </c>
      <c r="AF44" s="8" t="str">
        <f t="shared" si="29"/>
        <v/>
      </c>
      <c r="AG44" s="7" t="str">
        <f t="shared" si="30"/>
        <v>Good</v>
      </c>
      <c r="AI44" s="100">
        <f t="shared" si="0"/>
        <v>28.927637036</v>
      </c>
      <c r="AJ44" s="100">
        <f t="shared" si="1"/>
        <v>47.956313770000001</v>
      </c>
    </row>
    <row r="45" spans="1:36" x14ac:dyDescent="0.2">
      <c r="A45" s="8">
        <v>1.23</v>
      </c>
      <c r="B45" s="100">
        <v>28.927627907000002</v>
      </c>
      <c r="C45" s="100">
        <v>47.956272057</v>
      </c>
      <c r="D45" s="101">
        <v>1229.7289949480985</v>
      </c>
      <c r="E45" s="42" t="str">
        <f t="shared" si="31"/>
        <v/>
      </c>
      <c r="F45" s="7" t="str">
        <f t="shared" si="3"/>
        <v/>
      </c>
      <c r="G45" s="100" t="str">
        <f t="shared" si="4"/>
        <v/>
      </c>
      <c r="H45" s="100" t="str">
        <f t="shared" si="5"/>
        <v/>
      </c>
      <c r="I45" s="100" t="str">
        <f t="shared" si="6"/>
        <v/>
      </c>
      <c r="J45" s="100" t="str">
        <f t="shared" si="7"/>
        <v/>
      </c>
      <c r="K45" s="102" t="str">
        <f t="shared" si="8"/>
        <v/>
      </c>
      <c r="L45" s="103" t="str">
        <f t="shared" si="9"/>
        <v/>
      </c>
      <c r="M45" s="103" t="str">
        <f t="shared" si="10"/>
        <v/>
      </c>
      <c r="N45" s="103" t="str">
        <f t="shared" si="11"/>
        <v/>
      </c>
      <c r="O45" s="103" t="str">
        <f t="shared" si="12"/>
        <v/>
      </c>
      <c r="P45" s="105" t="str">
        <f t="shared" si="13"/>
        <v/>
      </c>
      <c r="Q45" s="105" t="str">
        <f t="shared" si="14"/>
        <v/>
      </c>
      <c r="R45" s="104" t="str">
        <f t="shared" si="15"/>
        <v/>
      </c>
      <c r="S45" s="104" t="str">
        <f t="shared" si="16"/>
        <v/>
      </c>
      <c r="T45" s="105" t="str">
        <f t="shared" si="17"/>
        <v/>
      </c>
      <c r="U45" s="14" t="str">
        <f t="shared" si="18"/>
        <v/>
      </c>
      <c r="V45" s="14" t="str">
        <f t="shared" si="19"/>
        <v/>
      </c>
      <c r="W45" s="103" t="str">
        <f t="shared" si="20"/>
        <v/>
      </c>
      <c r="X45" s="103" t="str">
        <f t="shared" si="21"/>
        <v/>
      </c>
      <c r="Y45" s="100" t="str">
        <f t="shared" si="22"/>
        <v/>
      </c>
      <c r="Z45" s="100" t="str">
        <f t="shared" si="23"/>
        <v/>
      </c>
      <c r="AA45" s="100" t="e">
        <f t="shared" si="24"/>
        <v>#VALUE!</v>
      </c>
      <c r="AB45" s="100" t="e">
        <f t="shared" si="25"/>
        <v>#VALUE!</v>
      </c>
      <c r="AC45" s="100" t="e">
        <f t="shared" si="26"/>
        <v>#VALUE!</v>
      </c>
      <c r="AD45" s="100" t="e">
        <f t="shared" si="27"/>
        <v>#VALUE!</v>
      </c>
      <c r="AE45" s="8" t="str">
        <f t="shared" si="28"/>
        <v/>
      </c>
      <c r="AF45" s="8" t="str">
        <f t="shared" si="29"/>
        <v/>
      </c>
      <c r="AG45" s="7" t="str">
        <f t="shared" si="30"/>
        <v>Good</v>
      </c>
      <c r="AI45" s="100">
        <f t="shared" si="0"/>
        <v>28.927627907000002</v>
      </c>
      <c r="AJ45" s="100">
        <f t="shared" si="1"/>
        <v>47.956272057</v>
      </c>
    </row>
    <row r="46" spans="1:36" x14ac:dyDescent="0.2">
      <c r="A46" s="8">
        <v>1.3740000000000001</v>
      </c>
      <c r="B46" s="100">
        <v>28.927765733000001</v>
      </c>
      <c r="C46" s="100">
        <v>47.954799424000001</v>
      </c>
      <c r="D46" s="101">
        <v>1373.767040298543</v>
      </c>
      <c r="E46" s="42" t="str">
        <f t="shared" si="31"/>
        <v/>
      </c>
      <c r="F46" s="7" t="str">
        <f t="shared" si="3"/>
        <v/>
      </c>
      <c r="G46" s="100" t="str">
        <f t="shared" si="4"/>
        <v/>
      </c>
      <c r="H46" s="100" t="str">
        <f t="shared" si="5"/>
        <v/>
      </c>
      <c r="I46" s="100" t="str">
        <f t="shared" si="6"/>
        <v/>
      </c>
      <c r="J46" s="100" t="str">
        <f t="shared" si="7"/>
        <v/>
      </c>
      <c r="K46" s="102" t="str">
        <f t="shared" si="8"/>
        <v/>
      </c>
      <c r="L46" s="103" t="str">
        <f t="shared" si="9"/>
        <v/>
      </c>
      <c r="M46" s="103" t="str">
        <f t="shared" si="10"/>
        <v/>
      </c>
      <c r="N46" s="103" t="str">
        <f t="shared" si="11"/>
        <v/>
      </c>
      <c r="O46" s="103" t="str">
        <f t="shared" si="12"/>
        <v/>
      </c>
      <c r="P46" s="105" t="str">
        <f t="shared" si="13"/>
        <v/>
      </c>
      <c r="Q46" s="105" t="str">
        <f t="shared" si="14"/>
        <v/>
      </c>
      <c r="R46" s="104" t="str">
        <f t="shared" si="15"/>
        <v/>
      </c>
      <c r="S46" s="104" t="str">
        <f t="shared" si="16"/>
        <v/>
      </c>
      <c r="T46" s="105" t="str">
        <f t="shared" si="17"/>
        <v/>
      </c>
      <c r="U46" s="14" t="str">
        <f t="shared" si="18"/>
        <v/>
      </c>
      <c r="V46" s="14" t="str">
        <f t="shared" si="19"/>
        <v/>
      </c>
      <c r="W46" s="103" t="str">
        <f t="shared" si="20"/>
        <v/>
      </c>
      <c r="X46" s="103" t="str">
        <f t="shared" si="21"/>
        <v/>
      </c>
      <c r="Y46" s="100" t="str">
        <f t="shared" si="22"/>
        <v/>
      </c>
      <c r="Z46" s="100" t="str">
        <f t="shared" si="23"/>
        <v/>
      </c>
      <c r="AA46" s="100" t="e">
        <f t="shared" si="24"/>
        <v>#VALUE!</v>
      </c>
      <c r="AB46" s="100" t="e">
        <f t="shared" si="25"/>
        <v>#VALUE!</v>
      </c>
      <c r="AC46" s="100" t="e">
        <f t="shared" si="26"/>
        <v>#VALUE!</v>
      </c>
      <c r="AD46" s="100" t="e">
        <f t="shared" si="27"/>
        <v>#VALUE!</v>
      </c>
      <c r="AE46" s="8" t="str">
        <f t="shared" si="28"/>
        <v/>
      </c>
      <c r="AF46" s="8" t="str">
        <f t="shared" si="29"/>
        <v/>
      </c>
      <c r="AG46" s="7" t="str">
        <f t="shared" si="30"/>
        <v>Good</v>
      </c>
      <c r="AI46" s="100">
        <f t="shared" si="0"/>
        <v>28.927765733000001</v>
      </c>
      <c r="AJ46" s="100">
        <f t="shared" si="1"/>
        <v>47.954799424000001</v>
      </c>
    </row>
    <row r="47" spans="1:36" x14ac:dyDescent="0.2">
      <c r="A47" s="8">
        <v>1.4630000000000001</v>
      </c>
      <c r="B47" s="100">
        <v>28.928000151999999</v>
      </c>
      <c r="C47" s="100">
        <v>47.953921590999997</v>
      </c>
      <c r="D47" s="101">
        <v>1463.0263773003267</v>
      </c>
      <c r="E47" s="42" t="str">
        <f t="shared" si="31"/>
        <v/>
      </c>
      <c r="F47" s="7" t="str">
        <f t="shared" si="3"/>
        <v/>
      </c>
      <c r="G47" s="100" t="str">
        <f t="shared" si="4"/>
        <v/>
      </c>
      <c r="H47" s="100" t="str">
        <f t="shared" si="5"/>
        <v/>
      </c>
      <c r="I47" s="100" t="str">
        <f t="shared" si="6"/>
        <v/>
      </c>
      <c r="J47" s="100" t="str">
        <f t="shared" si="7"/>
        <v/>
      </c>
      <c r="K47" s="102" t="str">
        <f t="shared" si="8"/>
        <v/>
      </c>
      <c r="L47" s="103" t="str">
        <f t="shared" si="9"/>
        <v/>
      </c>
      <c r="M47" s="103" t="str">
        <f t="shared" si="10"/>
        <v/>
      </c>
      <c r="N47" s="103" t="str">
        <f t="shared" si="11"/>
        <v/>
      </c>
      <c r="O47" s="103" t="str">
        <f t="shared" si="12"/>
        <v/>
      </c>
      <c r="P47" s="105" t="str">
        <f t="shared" si="13"/>
        <v/>
      </c>
      <c r="Q47" s="105" t="str">
        <f t="shared" si="14"/>
        <v/>
      </c>
      <c r="R47" s="104" t="str">
        <f t="shared" si="15"/>
        <v/>
      </c>
      <c r="S47" s="104" t="str">
        <f t="shared" si="16"/>
        <v/>
      </c>
      <c r="T47" s="105" t="str">
        <f t="shared" si="17"/>
        <v/>
      </c>
      <c r="U47" s="14" t="str">
        <f t="shared" si="18"/>
        <v/>
      </c>
      <c r="V47" s="14" t="str">
        <f t="shared" si="19"/>
        <v/>
      </c>
      <c r="W47" s="103" t="str">
        <f t="shared" si="20"/>
        <v/>
      </c>
      <c r="X47" s="103" t="str">
        <f t="shared" si="21"/>
        <v/>
      </c>
      <c r="Y47" s="100" t="str">
        <f t="shared" si="22"/>
        <v/>
      </c>
      <c r="Z47" s="100" t="str">
        <f t="shared" si="23"/>
        <v/>
      </c>
      <c r="AA47" s="100" t="e">
        <f t="shared" si="24"/>
        <v>#VALUE!</v>
      </c>
      <c r="AB47" s="100" t="e">
        <f t="shared" si="25"/>
        <v>#VALUE!</v>
      </c>
      <c r="AC47" s="100" t="e">
        <f t="shared" si="26"/>
        <v>#VALUE!</v>
      </c>
      <c r="AD47" s="100" t="e">
        <f t="shared" si="27"/>
        <v>#VALUE!</v>
      </c>
      <c r="AE47" s="8" t="str">
        <f t="shared" si="28"/>
        <v/>
      </c>
      <c r="AF47" s="8" t="str">
        <f t="shared" si="29"/>
        <v/>
      </c>
      <c r="AG47" s="7" t="str">
        <f t="shared" si="30"/>
        <v>Good</v>
      </c>
      <c r="AI47" s="100">
        <f t="shared" si="0"/>
        <v>28.928000151999999</v>
      </c>
      <c r="AJ47" s="100">
        <f t="shared" si="1"/>
        <v>47.953921590999997</v>
      </c>
    </row>
    <row r="48" spans="1:36" x14ac:dyDescent="0.2">
      <c r="A48" s="8">
        <v>1.514</v>
      </c>
      <c r="B48" s="100">
        <v>28.928136914</v>
      </c>
      <c r="C48" s="100">
        <v>47.953422285999999</v>
      </c>
      <c r="D48" s="101">
        <v>1513.9087827503847</v>
      </c>
      <c r="E48" s="42" t="str">
        <f t="shared" si="31"/>
        <v/>
      </c>
      <c r="F48" s="7" t="str">
        <f t="shared" si="3"/>
        <v/>
      </c>
      <c r="G48" s="100" t="str">
        <f t="shared" si="4"/>
        <v/>
      </c>
      <c r="H48" s="100" t="str">
        <f t="shared" si="5"/>
        <v/>
      </c>
      <c r="I48" s="100" t="str">
        <f t="shared" si="6"/>
        <v/>
      </c>
      <c r="J48" s="100" t="str">
        <f t="shared" si="7"/>
        <v/>
      </c>
      <c r="K48" s="102" t="str">
        <f t="shared" si="8"/>
        <v/>
      </c>
      <c r="L48" s="103" t="str">
        <f t="shared" si="9"/>
        <v/>
      </c>
      <c r="M48" s="103" t="str">
        <f t="shared" si="10"/>
        <v/>
      </c>
      <c r="N48" s="103" t="str">
        <f t="shared" si="11"/>
        <v/>
      </c>
      <c r="O48" s="103" t="str">
        <f t="shared" si="12"/>
        <v/>
      </c>
      <c r="P48" s="105" t="str">
        <f t="shared" si="13"/>
        <v/>
      </c>
      <c r="Q48" s="105" t="str">
        <f t="shared" si="14"/>
        <v/>
      </c>
      <c r="R48" s="104" t="str">
        <f t="shared" si="15"/>
        <v/>
      </c>
      <c r="S48" s="104" t="str">
        <f t="shared" si="16"/>
        <v/>
      </c>
      <c r="T48" s="105" t="str">
        <f t="shared" si="17"/>
        <v/>
      </c>
      <c r="U48" s="14" t="str">
        <f t="shared" si="18"/>
        <v/>
      </c>
      <c r="V48" s="14" t="str">
        <f t="shared" si="19"/>
        <v/>
      </c>
      <c r="W48" s="103" t="str">
        <f t="shared" si="20"/>
        <v/>
      </c>
      <c r="X48" s="103" t="str">
        <f t="shared" si="21"/>
        <v/>
      </c>
      <c r="Y48" s="100" t="str">
        <f t="shared" si="22"/>
        <v/>
      </c>
      <c r="Z48" s="100" t="str">
        <f t="shared" si="23"/>
        <v/>
      </c>
      <c r="AA48" s="100" t="e">
        <f t="shared" si="24"/>
        <v>#VALUE!</v>
      </c>
      <c r="AB48" s="100" t="e">
        <f t="shared" si="25"/>
        <v>#VALUE!</v>
      </c>
      <c r="AC48" s="100" t="e">
        <f t="shared" si="26"/>
        <v>#VALUE!</v>
      </c>
      <c r="AD48" s="100" t="e">
        <f t="shared" si="27"/>
        <v>#VALUE!</v>
      </c>
      <c r="AE48" s="8" t="str">
        <f t="shared" si="28"/>
        <v/>
      </c>
      <c r="AF48" s="8" t="str">
        <f t="shared" si="29"/>
        <v/>
      </c>
      <c r="AG48" s="7" t="str">
        <f t="shared" si="30"/>
        <v>Good</v>
      </c>
      <c r="AI48" s="100">
        <f t="shared" si="0"/>
        <v>28.928136914</v>
      </c>
      <c r="AJ48" s="100">
        <f t="shared" si="1"/>
        <v>47.953422285999999</v>
      </c>
    </row>
    <row r="49" spans="1:36" x14ac:dyDescent="0.2">
      <c r="A49" s="8">
        <v>1.6140000000000001</v>
      </c>
      <c r="B49" s="100">
        <v>28.928386106000001</v>
      </c>
      <c r="C49" s="100">
        <v>47.952431488999999</v>
      </c>
      <c r="D49" s="101">
        <v>1614.1682809499741</v>
      </c>
      <c r="E49" s="42" t="str">
        <f t="shared" si="31"/>
        <v/>
      </c>
      <c r="F49" s="7" t="str">
        <f t="shared" si="3"/>
        <v/>
      </c>
      <c r="G49" s="100" t="str">
        <f t="shared" si="4"/>
        <v/>
      </c>
      <c r="H49" s="100" t="str">
        <f t="shared" si="5"/>
        <v/>
      </c>
      <c r="I49" s="100" t="str">
        <f t="shared" si="6"/>
        <v/>
      </c>
      <c r="J49" s="100" t="str">
        <f t="shared" si="7"/>
        <v/>
      </c>
      <c r="K49" s="102" t="str">
        <f t="shared" si="8"/>
        <v/>
      </c>
      <c r="L49" s="103" t="str">
        <f t="shared" si="9"/>
        <v/>
      </c>
      <c r="M49" s="103" t="str">
        <f t="shared" si="10"/>
        <v/>
      </c>
      <c r="N49" s="103" t="str">
        <f t="shared" si="11"/>
        <v/>
      </c>
      <c r="O49" s="103" t="str">
        <f t="shared" si="12"/>
        <v/>
      </c>
      <c r="P49" s="105" t="str">
        <f t="shared" si="13"/>
        <v/>
      </c>
      <c r="Q49" s="105" t="str">
        <f t="shared" si="14"/>
        <v/>
      </c>
      <c r="R49" s="104" t="str">
        <f t="shared" si="15"/>
        <v/>
      </c>
      <c r="S49" s="104" t="str">
        <f t="shared" si="16"/>
        <v/>
      </c>
      <c r="T49" s="105" t="str">
        <f t="shared" si="17"/>
        <v/>
      </c>
      <c r="U49" s="14" t="str">
        <f t="shared" si="18"/>
        <v/>
      </c>
      <c r="V49" s="14" t="str">
        <f t="shared" si="19"/>
        <v/>
      </c>
      <c r="W49" s="103" t="str">
        <f t="shared" si="20"/>
        <v/>
      </c>
      <c r="X49" s="103" t="str">
        <f t="shared" si="21"/>
        <v/>
      </c>
      <c r="Y49" s="100" t="str">
        <f t="shared" si="22"/>
        <v/>
      </c>
      <c r="Z49" s="100" t="str">
        <f t="shared" si="23"/>
        <v/>
      </c>
      <c r="AA49" s="100" t="e">
        <f t="shared" si="24"/>
        <v>#VALUE!</v>
      </c>
      <c r="AB49" s="100" t="e">
        <f t="shared" si="25"/>
        <v>#VALUE!</v>
      </c>
      <c r="AC49" s="100" t="e">
        <f t="shared" si="26"/>
        <v>#VALUE!</v>
      </c>
      <c r="AD49" s="100" t="e">
        <f t="shared" si="27"/>
        <v>#VALUE!</v>
      </c>
      <c r="AE49" s="8" t="str">
        <f t="shared" si="28"/>
        <v/>
      </c>
      <c r="AF49" s="8" t="str">
        <f t="shared" si="29"/>
        <v/>
      </c>
      <c r="AG49" s="7" t="str">
        <f t="shared" si="30"/>
        <v>Good</v>
      </c>
      <c r="AI49" s="100">
        <f t="shared" si="0"/>
        <v>28.928386106000001</v>
      </c>
      <c r="AJ49" s="100">
        <f t="shared" si="1"/>
        <v>47.952431488999999</v>
      </c>
    </row>
    <row r="50" spans="1:36" x14ac:dyDescent="0.2">
      <c r="A50" s="8">
        <v>1.7310000000000001</v>
      </c>
      <c r="B50" s="100">
        <v>28.928694261</v>
      </c>
      <c r="C50" s="100">
        <v>47.951282294999999</v>
      </c>
      <c r="D50" s="101">
        <v>1731.0605642318542</v>
      </c>
      <c r="E50" s="42" t="str">
        <f t="shared" si="31"/>
        <v/>
      </c>
      <c r="F50" s="7" t="str">
        <f t="shared" si="3"/>
        <v/>
      </c>
      <c r="G50" s="100" t="str">
        <f t="shared" si="4"/>
        <v/>
      </c>
      <c r="H50" s="100" t="str">
        <f t="shared" si="5"/>
        <v/>
      </c>
      <c r="I50" s="100" t="str">
        <f t="shared" si="6"/>
        <v/>
      </c>
      <c r="J50" s="100" t="str">
        <f t="shared" si="7"/>
        <v/>
      </c>
      <c r="K50" s="102" t="str">
        <f t="shared" si="8"/>
        <v/>
      </c>
      <c r="L50" s="103" t="str">
        <f t="shared" si="9"/>
        <v/>
      </c>
      <c r="M50" s="103" t="str">
        <f t="shared" si="10"/>
        <v/>
      </c>
      <c r="N50" s="103" t="str">
        <f t="shared" si="11"/>
        <v/>
      </c>
      <c r="O50" s="103" t="str">
        <f t="shared" si="12"/>
        <v/>
      </c>
      <c r="P50" s="105" t="str">
        <f t="shared" si="13"/>
        <v/>
      </c>
      <c r="Q50" s="105" t="str">
        <f t="shared" si="14"/>
        <v/>
      </c>
      <c r="R50" s="104" t="str">
        <f t="shared" si="15"/>
        <v/>
      </c>
      <c r="S50" s="104" t="str">
        <f t="shared" si="16"/>
        <v/>
      </c>
      <c r="T50" s="105" t="str">
        <f t="shared" si="17"/>
        <v/>
      </c>
      <c r="U50" s="14" t="str">
        <f t="shared" si="18"/>
        <v/>
      </c>
      <c r="V50" s="14" t="str">
        <f t="shared" si="19"/>
        <v/>
      </c>
      <c r="W50" s="103" t="str">
        <f t="shared" si="20"/>
        <v/>
      </c>
      <c r="X50" s="103" t="str">
        <f t="shared" si="21"/>
        <v/>
      </c>
      <c r="Y50" s="100" t="str">
        <f t="shared" si="22"/>
        <v/>
      </c>
      <c r="Z50" s="100" t="str">
        <f t="shared" si="23"/>
        <v/>
      </c>
      <c r="AA50" s="100" t="e">
        <f t="shared" si="24"/>
        <v>#VALUE!</v>
      </c>
      <c r="AB50" s="100" t="e">
        <f t="shared" si="25"/>
        <v>#VALUE!</v>
      </c>
      <c r="AC50" s="100" t="e">
        <f t="shared" si="26"/>
        <v>#VALUE!</v>
      </c>
      <c r="AD50" s="100" t="e">
        <f t="shared" si="27"/>
        <v>#VALUE!</v>
      </c>
      <c r="AE50" s="8" t="str">
        <f t="shared" si="28"/>
        <v/>
      </c>
      <c r="AF50" s="8" t="str">
        <f t="shared" si="29"/>
        <v/>
      </c>
      <c r="AG50" s="7" t="str">
        <f t="shared" si="30"/>
        <v>Good</v>
      </c>
      <c r="AI50" s="100">
        <f t="shared" si="0"/>
        <v>28.928694261</v>
      </c>
      <c r="AJ50" s="100">
        <f t="shared" si="1"/>
        <v>47.951282294999999</v>
      </c>
    </row>
    <row r="51" spans="1:36" x14ac:dyDescent="0.2">
      <c r="A51" s="8">
        <v>1.752</v>
      </c>
      <c r="B51" s="100">
        <v>28.928751815999998</v>
      </c>
      <c r="C51" s="100">
        <v>47.951077462999997</v>
      </c>
      <c r="D51" s="101">
        <v>1751.983029721011</v>
      </c>
      <c r="E51" s="42" t="str">
        <f t="shared" si="31"/>
        <v/>
      </c>
      <c r="F51" s="7" t="str">
        <f t="shared" si="3"/>
        <v/>
      </c>
      <c r="G51" s="100" t="str">
        <f t="shared" si="4"/>
        <v/>
      </c>
      <c r="H51" s="100" t="str">
        <f t="shared" si="5"/>
        <v/>
      </c>
      <c r="I51" s="100" t="str">
        <f t="shared" si="6"/>
        <v/>
      </c>
      <c r="J51" s="100" t="str">
        <f t="shared" si="7"/>
        <v/>
      </c>
      <c r="K51" s="102" t="str">
        <f t="shared" si="8"/>
        <v/>
      </c>
      <c r="L51" s="103" t="str">
        <f t="shared" si="9"/>
        <v/>
      </c>
      <c r="M51" s="103" t="str">
        <f t="shared" si="10"/>
        <v/>
      </c>
      <c r="N51" s="103" t="str">
        <f t="shared" si="11"/>
        <v/>
      </c>
      <c r="O51" s="103" t="str">
        <f t="shared" si="12"/>
        <v/>
      </c>
      <c r="P51" s="105" t="str">
        <f t="shared" si="13"/>
        <v/>
      </c>
      <c r="Q51" s="105" t="str">
        <f t="shared" si="14"/>
        <v/>
      </c>
      <c r="R51" s="104" t="str">
        <f t="shared" si="15"/>
        <v/>
      </c>
      <c r="S51" s="104" t="str">
        <f t="shared" si="16"/>
        <v/>
      </c>
      <c r="T51" s="105" t="str">
        <f t="shared" si="17"/>
        <v/>
      </c>
      <c r="U51" s="14" t="str">
        <f t="shared" si="18"/>
        <v/>
      </c>
      <c r="V51" s="14" t="str">
        <f t="shared" si="19"/>
        <v/>
      </c>
      <c r="W51" s="103" t="str">
        <f t="shared" si="20"/>
        <v/>
      </c>
      <c r="X51" s="103" t="str">
        <f t="shared" si="21"/>
        <v/>
      </c>
      <c r="Y51" s="100" t="str">
        <f t="shared" si="22"/>
        <v/>
      </c>
      <c r="Z51" s="100" t="str">
        <f t="shared" si="23"/>
        <v/>
      </c>
      <c r="AA51" s="100" t="e">
        <f t="shared" si="24"/>
        <v>#VALUE!</v>
      </c>
      <c r="AB51" s="100" t="e">
        <f t="shared" si="25"/>
        <v>#VALUE!</v>
      </c>
      <c r="AC51" s="100" t="e">
        <f t="shared" si="26"/>
        <v>#VALUE!</v>
      </c>
      <c r="AD51" s="100" t="e">
        <f t="shared" si="27"/>
        <v>#VALUE!</v>
      </c>
      <c r="AE51" s="8" t="str">
        <f t="shared" si="28"/>
        <v/>
      </c>
      <c r="AF51" s="8" t="str">
        <f t="shared" si="29"/>
        <v/>
      </c>
      <c r="AG51" s="7" t="str">
        <f t="shared" si="30"/>
        <v>Good</v>
      </c>
      <c r="AI51" s="100">
        <f t="shared" si="0"/>
        <v>28.928751815999998</v>
      </c>
      <c r="AJ51" s="100">
        <f t="shared" si="1"/>
        <v>47.951077462999997</v>
      </c>
    </row>
    <row r="52" spans="1:36" x14ac:dyDescent="0.2">
      <c r="A52" s="8">
        <v>1.756</v>
      </c>
      <c r="B52" s="100">
        <v>28.928762738</v>
      </c>
      <c r="C52" s="100">
        <v>47.951033084000002</v>
      </c>
      <c r="D52" s="101">
        <v>1756.467132099378</v>
      </c>
      <c r="E52" s="42" t="str">
        <f t="shared" si="31"/>
        <v/>
      </c>
      <c r="F52" s="7" t="str">
        <f t="shared" si="3"/>
        <v/>
      </c>
      <c r="G52" s="100" t="str">
        <f t="shared" si="4"/>
        <v/>
      </c>
      <c r="H52" s="100" t="str">
        <f t="shared" si="5"/>
        <v/>
      </c>
      <c r="I52" s="100" t="str">
        <f t="shared" si="6"/>
        <v/>
      </c>
      <c r="J52" s="100" t="str">
        <f t="shared" si="7"/>
        <v/>
      </c>
      <c r="K52" s="102" t="str">
        <f t="shared" si="8"/>
        <v/>
      </c>
      <c r="L52" s="103" t="str">
        <f t="shared" si="9"/>
        <v/>
      </c>
      <c r="M52" s="103" t="str">
        <f t="shared" si="10"/>
        <v/>
      </c>
      <c r="N52" s="103" t="str">
        <f t="shared" si="11"/>
        <v/>
      </c>
      <c r="O52" s="103" t="str">
        <f t="shared" si="12"/>
        <v/>
      </c>
      <c r="P52" s="105" t="str">
        <f t="shared" si="13"/>
        <v/>
      </c>
      <c r="Q52" s="105" t="str">
        <f t="shared" si="14"/>
        <v/>
      </c>
      <c r="R52" s="104" t="str">
        <f t="shared" si="15"/>
        <v/>
      </c>
      <c r="S52" s="104" t="str">
        <f t="shared" si="16"/>
        <v/>
      </c>
      <c r="T52" s="105" t="str">
        <f t="shared" si="17"/>
        <v/>
      </c>
      <c r="U52" s="14" t="str">
        <f t="shared" si="18"/>
        <v/>
      </c>
      <c r="V52" s="14" t="str">
        <f t="shared" si="19"/>
        <v/>
      </c>
      <c r="W52" s="103" t="str">
        <f t="shared" si="20"/>
        <v/>
      </c>
      <c r="X52" s="103" t="str">
        <f t="shared" si="21"/>
        <v/>
      </c>
      <c r="Y52" s="100" t="str">
        <f t="shared" si="22"/>
        <v/>
      </c>
      <c r="Z52" s="100" t="str">
        <f t="shared" si="23"/>
        <v/>
      </c>
      <c r="AA52" s="100" t="e">
        <f t="shared" si="24"/>
        <v>#VALUE!</v>
      </c>
      <c r="AB52" s="100" t="e">
        <f t="shared" si="25"/>
        <v>#VALUE!</v>
      </c>
      <c r="AC52" s="100" t="e">
        <f t="shared" si="26"/>
        <v>#VALUE!</v>
      </c>
      <c r="AD52" s="100" t="e">
        <f t="shared" si="27"/>
        <v>#VALUE!</v>
      </c>
      <c r="AE52" s="8" t="str">
        <f t="shared" si="28"/>
        <v/>
      </c>
      <c r="AF52" s="8" t="str">
        <f t="shared" si="29"/>
        <v/>
      </c>
      <c r="AG52" s="7" t="str">
        <f t="shared" si="30"/>
        <v>Good</v>
      </c>
      <c r="AI52" s="100">
        <f t="shared" si="0"/>
        <v>28.928762738</v>
      </c>
      <c r="AJ52" s="100">
        <f t="shared" si="1"/>
        <v>47.951033084000002</v>
      </c>
    </row>
    <row r="53" spans="1:36" x14ac:dyDescent="0.2">
      <c r="A53" s="8">
        <v>1.774</v>
      </c>
      <c r="B53" s="100">
        <v>28.928805306000001</v>
      </c>
      <c r="C53" s="100">
        <v>47.950856639999998</v>
      </c>
      <c r="D53" s="101">
        <v>1774.267033825766</v>
      </c>
      <c r="E53" s="42" t="str">
        <f t="shared" si="31"/>
        <v/>
      </c>
      <c r="F53" s="7" t="str">
        <f t="shared" si="3"/>
        <v/>
      </c>
      <c r="G53" s="100" t="str">
        <f t="shared" si="4"/>
        <v/>
      </c>
      <c r="H53" s="100" t="str">
        <f t="shared" si="5"/>
        <v/>
      </c>
      <c r="I53" s="100" t="str">
        <f t="shared" si="6"/>
        <v/>
      </c>
      <c r="J53" s="100" t="str">
        <f t="shared" si="7"/>
        <v/>
      </c>
      <c r="K53" s="102" t="str">
        <f t="shared" si="8"/>
        <v/>
      </c>
      <c r="L53" s="103" t="str">
        <f t="shared" si="9"/>
        <v/>
      </c>
      <c r="M53" s="103" t="str">
        <f t="shared" si="10"/>
        <v/>
      </c>
      <c r="N53" s="103" t="str">
        <f t="shared" si="11"/>
        <v/>
      </c>
      <c r="O53" s="103" t="str">
        <f t="shared" si="12"/>
        <v/>
      </c>
      <c r="P53" s="105" t="str">
        <f t="shared" si="13"/>
        <v/>
      </c>
      <c r="Q53" s="105" t="str">
        <f t="shared" si="14"/>
        <v/>
      </c>
      <c r="R53" s="104" t="str">
        <f t="shared" si="15"/>
        <v/>
      </c>
      <c r="S53" s="104" t="str">
        <f t="shared" si="16"/>
        <v/>
      </c>
      <c r="T53" s="105" t="str">
        <f t="shared" si="17"/>
        <v/>
      </c>
      <c r="U53" s="14" t="str">
        <f t="shared" si="18"/>
        <v/>
      </c>
      <c r="V53" s="14" t="str">
        <f t="shared" si="19"/>
        <v/>
      </c>
      <c r="W53" s="103" t="str">
        <f t="shared" si="20"/>
        <v/>
      </c>
      <c r="X53" s="103" t="str">
        <f t="shared" si="21"/>
        <v/>
      </c>
      <c r="Y53" s="100" t="str">
        <f t="shared" si="22"/>
        <v/>
      </c>
      <c r="Z53" s="100" t="str">
        <f t="shared" si="23"/>
        <v/>
      </c>
      <c r="AA53" s="100" t="e">
        <f t="shared" si="24"/>
        <v>#VALUE!</v>
      </c>
      <c r="AB53" s="100" t="e">
        <f t="shared" si="25"/>
        <v>#VALUE!</v>
      </c>
      <c r="AC53" s="100" t="e">
        <f t="shared" si="26"/>
        <v>#VALUE!</v>
      </c>
      <c r="AD53" s="100" t="e">
        <f t="shared" si="27"/>
        <v>#VALUE!</v>
      </c>
      <c r="AE53" s="8" t="str">
        <f t="shared" si="28"/>
        <v/>
      </c>
      <c r="AF53" s="8" t="str">
        <f t="shared" si="29"/>
        <v/>
      </c>
      <c r="AG53" s="7" t="str">
        <f t="shared" si="30"/>
        <v>Good</v>
      </c>
      <c r="AI53" s="100">
        <f t="shared" si="0"/>
        <v>28.928805306000001</v>
      </c>
      <c r="AJ53" s="100">
        <f t="shared" si="1"/>
        <v>47.950856639999998</v>
      </c>
    </row>
    <row r="54" spans="1:36" x14ac:dyDescent="0.2">
      <c r="A54" s="8">
        <v>1.9239999999999999</v>
      </c>
      <c r="B54" s="100">
        <v>28.929201369000001</v>
      </c>
      <c r="C54" s="100">
        <v>47.949380578000003</v>
      </c>
      <c r="D54" s="101">
        <v>1924.4150790050596</v>
      </c>
      <c r="E54" s="42" t="str">
        <f t="shared" si="31"/>
        <v/>
      </c>
      <c r="F54" s="7" t="str">
        <f t="shared" si="3"/>
        <v/>
      </c>
      <c r="G54" s="100" t="str">
        <f t="shared" si="4"/>
        <v/>
      </c>
      <c r="H54" s="100" t="str">
        <f t="shared" si="5"/>
        <v/>
      </c>
      <c r="I54" s="100" t="str">
        <f t="shared" si="6"/>
        <v/>
      </c>
      <c r="J54" s="100" t="str">
        <f t="shared" si="7"/>
        <v/>
      </c>
      <c r="K54" s="102" t="str">
        <f t="shared" si="8"/>
        <v/>
      </c>
      <c r="L54" s="103" t="str">
        <f t="shared" si="9"/>
        <v/>
      </c>
      <c r="M54" s="103" t="str">
        <f t="shared" si="10"/>
        <v/>
      </c>
      <c r="N54" s="103" t="str">
        <f t="shared" si="11"/>
        <v/>
      </c>
      <c r="O54" s="103" t="str">
        <f t="shared" si="12"/>
        <v/>
      </c>
      <c r="P54" s="105" t="str">
        <f t="shared" si="13"/>
        <v/>
      </c>
      <c r="Q54" s="105" t="str">
        <f t="shared" si="14"/>
        <v/>
      </c>
      <c r="R54" s="104" t="str">
        <f t="shared" si="15"/>
        <v/>
      </c>
      <c r="S54" s="104" t="str">
        <f t="shared" si="16"/>
        <v/>
      </c>
      <c r="T54" s="105" t="str">
        <f t="shared" si="17"/>
        <v/>
      </c>
      <c r="U54" s="14" t="str">
        <f t="shared" si="18"/>
        <v/>
      </c>
      <c r="V54" s="14" t="str">
        <f t="shared" si="19"/>
        <v/>
      </c>
      <c r="W54" s="103" t="str">
        <f t="shared" si="20"/>
        <v/>
      </c>
      <c r="X54" s="103" t="str">
        <f t="shared" si="21"/>
        <v/>
      </c>
      <c r="Y54" s="100" t="str">
        <f t="shared" si="22"/>
        <v/>
      </c>
      <c r="Z54" s="100" t="str">
        <f t="shared" si="23"/>
        <v/>
      </c>
      <c r="AA54" s="100" t="e">
        <f t="shared" si="24"/>
        <v>#VALUE!</v>
      </c>
      <c r="AB54" s="100" t="e">
        <f t="shared" si="25"/>
        <v>#VALUE!</v>
      </c>
      <c r="AC54" s="100" t="e">
        <f t="shared" si="26"/>
        <v>#VALUE!</v>
      </c>
      <c r="AD54" s="100" t="e">
        <f t="shared" si="27"/>
        <v>#VALUE!</v>
      </c>
      <c r="AE54" s="8" t="str">
        <f t="shared" si="28"/>
        <v/>
      </c>
      <c r="AF54" s="8" t="str">
        <f t="shared" si="29"/>
        <v/>
      </c>
      <c r="AG54" s="7" t="str">
        <f t="shared" si="30"/>
        <v>Good</v>
      </c>
      <c r="AI54" s="100">
        <f t="shared" si="0"/>
        <v>28.929201369000001</v>
      </c>
      <c r="AJ54" s="100">
        <f t="shared" si="1"/>
        <v>47.949380578000003</v>
      </c>
    </row>
    <row r="55" spans="1:36" x14ac:dyDescent="0.2">
      <c r="A55" s="8">
        <v>1.984</v>
      </c>
      <c r="B55" s="100">
        <v>28.929357582000002</v>
      </c>
      <c r="C55" s="100">
        <v>47.948791036000003</v>
      </c>
      <c r="D55" s="101">
        <v>1984.3204506961038</v>
      </c>
      <c r="E55" s="42" t="str">
        <f t="shared" si="31"/>
        <v/>
      </c>
      <c r="F55" s="7" t="str">
        <f t="shared" si="3"/>
        <v/>
      </c>
      <c r="G55" s="100" t="str">
        <f t="shared" si="4"/>
        <v/>
      </c>
      <c r="H55" s="100" t="str">
        <f t="shared" si="5"/>
        <v/>
      </c>
      <c r="I55" s="100" t="str">
        <f t="shared" si="6"/>
        <v/>
      </c>
      <c r="J55" s="100" t="str">
        <f t="shared" si="7"/>
        <v/>
      </c>
      <c r="K55" s="102" t="str">
        <f t="shared" si="8"/>
        <v/>
      </c>
      <c r="L55" s="103" t="str">
        <f t="shared" si="9"/>
        <v/>
      </c>
      <c r="M55" s="103" t="str">
        <f t="shared" si="10"/>
        <v/>
      </c>
      <c r="N55" s="103" t="str">
        <f t="shared" si="11"/>
        <v/>
      </c>
      <c r="O55" s="103" t="str">
        <f t="shared" si="12"/>
        <v/>
      </c>
      <c r="P55" s="105" t="str">
        <f t="shared" si="13"/>
        <v/>
      </c>
      <c r="Q55" s="105" t="str">
        <f t="shared" si="14"/>
        <v/>
      </c>
      <c r="R55" s="104" t="str">
        <f t="shared" si="15"/>
        <v/>
      </c>
      <c r="S55" s="104" t="str">
        <f t="shared" si="16"/>
        <v/>
      </c>
      <c r="T55" s="105" t="str">
        <f t="shared" si="17"/>
        <v/>
      </c>
      <c r="U55" s="14" t="str">
        <f t="shared" si="18"/>
        <v/>
      </c>
      <c r="V55" s="14" t="str">
        <f t="shared" si="19"/>
        <v/>
      </c>
      <c r="W55" s="103" t="str">
        <f t="shared" si="20"/>
        <v/>
      </c>
      <c r="X55" s="103" t="str">
        <f t="shared" si="21"/>
        <v/>
      </c>
      <c r="Y55" s="100" t="str">
        <f t="shared" si="22"/>
        <v/>
      </c>
      <c r="Z55" s="100" t="str">
        <f t="shared" si="23"/>
        <v/>
      </c>
      <c r="AA55" s="100" t="e">
        <f t="shared" si="24"/>
        <v>#VALUE!</v>
      </c>
      <c r="AB55" s="100" t="e">
        <f t="shared" si="25"/>
        <v>#VALUE!</v>
      </c>
      <c r="AC55" s="100" t="e">
        <f t="shared" si="26"/>
        <v>#VALUE!</v>
      </c>
      <c r="AD55" s="100" t="e">
        <f t="shared" si="27"/>
        <v>#VALUE!</v>
      </c>
      <c r="AE55" s="8" t="str">
        <f t="shared" si="28"/>
        <v/>
      </c>
      <c r="AF55" s="8" t="str">
        <f t="shared" si="29"/>
        <v/>
      </c>
      <c r="AG55" s="7" t="str">
        <f t="shared" si="30"/>
        <v>Good</v>
      </c>
      <c r="AI55" s="100">
        <f t="shared" si="0"/>
        <v>28.929357582000002</v>
      </c>
      <c r="AJ55" s="100">
        <f t="shared" si="1"/>
        <v>47.948791036000003</v>
      </c>
    </row>
    <row r="56" spans="1:36" x14ac:dyDescent="0.2">
      <c r="A56" s="8">
        <v>2.0819999999999999</v>
      </c>
      <c r="D56" s="101">
        <v>2082</v>
      </c>
      <c r="E56" s="42">
        <f t="shared" si="31"/>
        <v>97.679549303896238</v>
      </c>
      <c r="F56" s="7">
        <f t="shared" si="3"/>
        <v>1</v>
      </c>
      <c r="G56" s="100">
        <f t="shared" si="4"/>
        <v>28.929357582000002</v>
      </c>
      <c r="H56" s="100">
        <f t="shared" si="5"/>
        <v>47.948791036000003</v>
      </c>
      <c r="I56" s="100">
        <f t="shared" si="6"/>
        <v>28.929603796999999</v>
      </c>
      <c r="J56" s="100">
        <f t="shared" si="7"/>
        <v>47.947811406</v>
      </c>
      <c r="K56" s="102">
        <f t="shared" si="8"/>
        <v>38</v>
      </c>
      <c r="L56" s="103">
        <f t="shared" si="9"/>
        <v>3203739.5614955891</v>
      </c>
      <c r="M56" s="103">
        <f t="shared" si="10"/>
        <v>787475.11119461374</v>
      </c>
      <c r="N56" s="103">
        <f t="shared" si="11"/>
        <v>3203764.4785848279</v>
      </c>
      <c r="O56" s="103">
        <f t="shared" si="12"/>
        <v>787378.88277314277</v>
      </c>
      <c r="P56" s="105">
        <f t="shared" si="13"/>
        <v>24.917089238762856</v>
      </c>
      <c r="Q56" s="105">
        <f t="shared" si="14"/>
        <v>-96.228421470965259</v>
      </c>
      <c r="R56" s="104">
        <f t="shared" si="15"/>
        <v>99.402064540562733</v>
      </c>
      <c r="S56" s="104" t="str">
        <f t="shared" si="16"/>
        <v>NW</v>
      </c>
      <c r="T56" s="105">
        <f t="shared" si="17"/>
        <v>0.25337201695290079</v>
      </c>
      <c r="U56" s="14">
        <f t="shared" si="18"/>
        <v>-94.56090155626103</v>
      </c>
      <c r="V56" s="14">
        <f t="shared" si="19"/>
        <v>24.485306799781082</v>
      </c>
      <c r="W56" s="103">
        <f t="shared" si="20"/>
        <v>3203764.046802389</v>
      </c>
      <c r="X56" s="103">
        <f t="shared" si="21"/>
        <v>787380.55029305746</v>
      </c>
      <c r="Y56" s="100">
        <f t="shared" si="22"/>
        <v>28.929599508895727</v>
      </c>
      <c r="Z56" s="100">
        <f t="shared" si="23"/>
        <v>47.947828383582461</v>
      </c>
      <c r="AA56" s="100">
        <f t="shared" si="24"/>
        <v>-2.4192689572544168E-4</v>
      </c>
      <c r="AB56" s="100">
        <f t="shared" si="25"/>
        <v>-4.2881042716658158E-6</v>
      </c>
      <c r="AC56" s="100">
        <f t="shared" si="26"/>
        <v>9.6265241754167619E-4</v>
      </c>
      <c r="AD56" s="100">
        <f t="shared" si="27"/>
        <v>1.6977582461663587E-5</v>
      </c>
      <c r="AE56" s="8" t="str">
        <f t="shared" si="28"/>
        <v>Good</v>
      </c>
      <c r="AF56" s="8" t="str">
        <f t="shared" si="29"/>
        <v>Good</v>
      </c>
      <c r="AG56" s="7" t="str">
        <f t="shared" si="30"/>
        <v>Good</v>
      </c>
      <c r="AI56" s="100">
        <f t="shared" si="0"/>
        <v>28.929599508895727</v>
      </c>
      <c r="AJ56" s="100">
        <f t="shared" si="1"/>
        <v>47.947828383582461</v>
      </c>
    </row>
    <row r="57" spans="1:36" x14ac:dyDescent="0.2">
      <c r="A57" s="8">
        <v>2.0830000000000002</v>
      </c>
      <c r="B57" s="100">
        <v>28.929603796999999</v>
      </c>
      <c r="C57" s="100">
        <v>47.947811406</v>
      </c>
      <c r="D57" s="101">
        <v>2083.4436808180149</v>
      </c>
      <c r="E57" s="42" t="str">
        <f t="shared" si="31"/>
        <v/>
      </c>
      <c r="F57" s="7" t="str">
        <f t="shared" si="3"/>
        <v/>
      </c>
      <c r="G57" s="100" t="str">
        <f t="shared" si="4"/>
        <v/>
      </c>
      <c r="H57" s="100" t="str">
        <f t="shared" si="5"/>
        <v/>
      </c>
      <c r="I57" s="100" t="str">
        <f t="shared" si="6"/>
        <v/>
      </c>
      <c r="J57" s="100" t="str">
        <f t="shared" si="7"/>
        <v/>
      </c>
      <c r="K57" s="102" t="str">
        <f t="shared" si="8"/>
        <v/>
      </c>
      <c r="L57" s="103" t="str">
        <f t="shared" si="9"/>
        <v/>
      </c>
      <c r="M57" s="103" t="str">
        <f t="shared" si="10"/>
        <v/>
      </c>
      <c r="N57" s="103" t="str">
        <f t="shared" si="11"/>
        <v/>
      </c>
      <c r="O57" s="103" t="str">
        <f t="shared" si="12"/>
        <v/>
      </c>
      <c r="P57" s="105" t="str">
        <f t="shared" si="13"/>
        <v/>
      </c>
      <c r="Q57" s="105" t="str">
        <f t="shared" si="14"/>
        <v/>
      </c>
      <c r="R57" s="104" t="str">
        <f t="shared" si="15"/>
        <v/>
      </c>
      <c r="S57" s="104" t="str">
        <f t="shared" si="16"/>
        <v/>
      </c>
      <c r="T57" s="105" t="str">
        <f t="shared" si="17"/>
        <v/>
      </c>
      <c r="U57" s="14" t="str">
        <f t="shared" si="18"/>
        <v/>
      </c>
      <c r="V57" s="14" t="str">
        <f t="shared" si="19"/>
        <v/>
      </c>
      <c r="W57" s="103" t="str">
        <f t="shared" si="20"/>
        <v/>
      </c>
      <c r="X57" s="103" t="str">
        <f t="shared" si="21"/>
        <v/>
      </c>
      <c r="Y57" s="100" t="str">
        <f t="shared" si="22"/>
        <v/>
      </c>
      <c r="Z57" s="100" t="str">
        <f t="shared" si="23"/>
        <v/>
      </c>
      <c r="AA57" s="100" t="e">
        <f t="shared" si="24"/>
        <v>#VALUE!</v>
      </c>
      <c r="AB57" s="100" t="e">
        <f t="shared" si="25"/>
        <v>#VALUE!</v>
      </c>
      <c r="AC57" s="100" t="e">
        <f t="shared" si="26"/>
        <v>#VALUE!</v>
      </c>
      <c r="AD57" s="100" t="e">
        <f t="shared" si="27"/>
        <v>#VALUE!</v>
      </c>
      <c r="AE57" s="8" t="str">
        <f t="shared" si="28"/>
        <v/>
      </c>
      <c r="AF57" s="8" t="str">
        <f t="shared" si="29"/>
        <v/>
      </c>
      <c r="AG57" s="7" t="str">
        <f t="shared" si="30"/>
        <v>Good</v>
      </c>
      <c r="AI57" s="100">
        <f t="shared" si="0"/>
        <v>28.929603796999999</v>
      </c>
      <c r="AJ57" s="100">
        <f t="shared" si="1"/>
        <v>47.947811406</v>
      </c>
    </row>
    <row r="58" spans="1:36" x14ac:dyDescent="0.2">
      <c r="A58" s="8">
        <v>2.1040000000000001</v>
      </c>
      <c r="B58" s="100">
        <v>28.929660382000002</v>
      </c>
      <c r="C58" s="100">
        <v>47.947608074000001</v>
      </c>
      <c r="D58" s="101">
        <v>2104.1942264436384</v>
      </c>
      <c r="E58" s="42" t="str">
        <f t="shared" si="31"/>
        <v/>
      </c>
      <c r="F58" s="7" t="str">
        <f t="shared" si="3"/>
        <v/>
      </c>
      <c r="G58" s="100" t="str">
        <f t="shared" si="4"/>
        <v/>
      </c>
      <c r="H58" s="100" t="str">
        <f t="shared" si="5"/>
        <v/>
      </c>
      <c r="I58" s="100" t="str">
        <f t="shared" si="6"/>
        <v/>
      </c>
      <c r="J58" s="100" t="str">
        <f t="shared" si="7"/>
        <v/>
      </c>
      <c r="K58" s="102" t="str">
        <f t="shared" si="8"/>
        <v/>
      </c>
      <c r="L58" s="103" t="str">
        <f t="shared" si="9"/>
        <v/>
      </c>
      <c r="M58" s="103" t="str">
        <f t="shared" si="10"/>
        <v/>
      </c>
      <c r="N58" s="103" t="str">
        <f t="shared" si="11"/>
        <v/>
      </c>
      <c r="O58" s="103" t="str">
        <f t="shared" si="12"/>
        <v/>
      </c>
      <c r="P58" s="105" t="str">
        <f t="shared" si="13"/>
        <v/>
      </c>
      <c r="Q58" s="105" t="str">
        <f t="shared" si="14"/>
        <v/>
      </c>
      <c r="R58" s="104" t="str">
        <f t="shared" si="15"/>
        <v/>
      </c>
      <c r="S58" s="104" t="str">
        <f t="shared" si="16"/>
        <v/>
      </c>
      <c r="T58" s="105" t="str">
        <f t="shared" si="17"/>
        <v/>
      </c>
      <c r="U58" s="14" t="str">
        <f t="shared" si="18"/>
        <v/>
      </c>
      <c r="V58" s="14" t="str">
        <f t="shared" si="19"/>
        <v/>
      </c>
      <c r="W58" s="103" t="str">
        <f t="shared" si="20"/>
        <v/>
      </c>
      <c r="X58" s="103" t="str">
        <f t="shared" si="21"/>
        <v/>
      </c>
      <c r="Y58" s="100" t="str">
        <f t="shared" si="22"/>
        <v/>
      </c>
      <c r="Z58" s="100" t="str">
        <f t="shared" si="23"/>
        <v/>
      </c>
      <c r="AA58" s="100" t="e">
        <f t="shared" si="24"/>
        <v>#VALUE!</v>
      </c>
      <c r="AB58" s="100" t="e">
        <f t="shared" si="25"/>
        <v>#VALUE!</v>
      </c>
      <c r="AC58" s="100" t="e">
        <f t="shared" si="26"/>
        <v>#VALUE!</v>
      </c>
      <c r="AD58" s="100" t="e">
        <f t="shared" si="27"/>
        <v>#VALUE!</v>
      </c>
      <c r="AE58" s="8" t="str">
        <f t="shared" si="28"/>
        <v/>
      </c>
      <c r="AF58" s="8" t="str">
        <f t="shared" si="29"/>
        <v/>
      </c>
      <c r="AG58" s="7" t="str">
        <f t="shared" si="30"/>
        <v>Good</v>
      </c>
      <c r="AI58" s="100">
        <f t="shared" si="0"/>
        <v>28.929660382000002</v>
      </c>
      <c r="AJ58" s="100">
        <f t="shared" si="1"/>
        <v>47.947608074000001</v>
      </c>
    </row>
    <row r="59" spans="1:36" x14ac:dyDescent="0.2">
      <c r="A59" s="8">
        <v>2.121</v>
      </c>
      <c r="B59" s="100">
        <v>28.929701482999999</v>
      </c>
      <c r="C59" s="100">
        <v>47.947439350000003</v>
      </c>
      <c r="D59" s="101">
        <v>2121.2269579052659</v>
      </c>
      <c r="E59" s="42" t="str">
        <f t="shared" si="31"/>
        <v/>
      </c>
      <c r="F59" s="7" t="str">
        <f t="shared" si="3"/>
        <v/>
      </c>
      <c r="G59" s="100" t="str">
        <f t="shared" si="4"/>
        <v/>
      </c>
      <c r="H59" s="100" t="str">
        <f t="shared" si="5"/>
        <v/>
      </c>
      <c r="I59" s="100" t="str">
        <f t="shared" si="6"/>
        <v/>
      </c>
      <c r="J59" s="100" t="str">
        <f t="shared" si="7"/>
        <v/>
      </c>
      <c r="K59" s="102" t="str">
        <f t="shared" si="8"/>
        <v/>
      </c>
      <c r="L59" s="103" t="str">
        <f t="shared" si="9"/>
        <v/>
      </c>
      <c r="M59" s="103" t="str">
        <f t="shared" si="10"/>
        <v/>
      </c>
      <c r="N59" s="103" t="str">
        <f t="shared" si="11"/>
        <v/>
      </c>
      <c r="O59" s="103" t="str">
        <f t="shared" si="12"/>
        <v/>
      </c>
      <c r="P59" s="105" t="str">
        <f t="shared" si="13"/>
        <v/>
      </c>
      <c r="Q59" s="105" t="str">
        <f t="shared" si="14"/>
        <v/>
      </c>
      <c r="R59" s="104" t="str">
        <f t="shared" si="15"/>
        <v/>
      </c>
      <c r="S59" s="104" t="str">
        <f t="shared" si="16"/>
        <v/>
      </c>
      <c r="T59" s="105" t="str">
        <f t="shared" si="17"/>
        <v/>
      </c>
      <c r="U59" s="14" t="str">
        <f t="shared" si="18"/>
        <v/>
      </c>
      <c r="V59" s="14" t="str">
        <f t="shared" si="19"/>
        <v/>
      </c>
      <c r="W59" s="103" t="str">
        <f t="shared" si="20"/>
        <v/>
      </c>
      <c r="X59" s="103" t="str">
        <f t="shared" si="21"/>
        <v/>
      </c>
      <c r="Y59" s="100" t="str">
        <f t="shared" si="22"/>
        <v/>
      </c>
      <c r="Z59" s="100" t="str">
        <f t="shared" si="23"/>
        <v/>
      </c>
      <c r="AA59" s="100" t="e">
        <f t="shared" si="24"/>
        <v>#VALUE!</v>
      </c>
      <c r="AB59" s="100" t="e">
        <f t="shared" si="25"/>
        <v>#VALUE!</v>
      </c>
      <c r="AC59" s="100" t="e">
        <f t="shared" si="26"/>
        <v>#VALUE!</v>
      </c>
      <c r="AD59" s="100" t="e">
        <f t="shared" si="27"/>
        <v>#VALUE!</v>
      </c>
      <c r="AE59" s="8" t="str">
        <f t="shared" si="28"/>
        <v/>
      </c>
      <c r="AF59" s="8" t="str">
        <f t="shared" si="29"/>
        <v/>
      </c>
      <c r="AG59" s="7" t="str">
        <f t="shared" si="30"/>
        <v>Good</v>
      </c>
      <c r="AI59" s="100">
        <f t="shared" si="0"/>
        <v>28.929701482999999</v>
      </c>
      <c r="AJ59" s="100">
        <f t="shared" si="1"/>
        <v>47.947439350000003</v>
      </c>
    </row>
    <row r="60" spans="1:36" x14ac:dyDescent="0.2">
      <c r="A60" s="8">
        <v>2.1269999999999998</v>
      </c>
      <c r="B60" s="100">
        <v>28.929719446</v>
      </c>
      <c r="C60" s="100">
        <v>47.947378215000001</v>
      </c>
      <c r="D60" s="101">
        <v>2127.4985045077847</v>
      </c>
      <c r="E60" s="42" t="str">
        <f t="shared" si="31"/>
        <v/>
      </c>
      <c r="F60" s="7" t="str">
        <f t="shared" si="3"/>
        <v/>
      </c>
      <c r="G60" s="100" t="str">
        <f t="shared" si="4"/>
        <v/>
      </c>
      <c r="H60" s="100" t="str">
        <f t="shared" si="5"/>
        <v/>
      </c>
      <c r="I60" s="100" t="str">
        <f t="shared" si="6"/>
        <v/>
      </c>
      <c r="J60" s="100" t="str">
        <f t="shared" si="7"/>
        <v/>
      </c>
      <c r="K60" s="102" t="str">
        <f t="shared" si="8"/>
        <v/>
      </c>
      <c r="L60" s="103" t="str">
        <f t="shared" si="9"/>
        <v/>
      </c>
      <c r="M60" s="103" t="str">
        <f t="shared" si="10"/>
        <v/>
      </c>
      <c r="N60" s="103" t="str">
        <f t="shared" si="11"/>
        <v/>
      </c>
      <c r="O60" s="103" t="str">
        <f t="shared" si="12"/>
        <v/>
      </c>
      <c r="P60" s="105" t="str">
        <f t="shared" si="13"/>
        <v/>
      </c>
      <c r="Q60" s="105" t="str">
        <f t="shared" si="14"/>
        <v/>
      </c>
      <c r="R60" s="104" t="str">
        <f t="shared" si="15"/>
        <v/>
      </c>
      <c r="S60" s="104" t="str">
        <f t="shared" si="16"/>
        <v/>
      </c>
      <c r="T60" s="105" t="str">
        <f t="shared" si="17"/>
        <v/>
      </c>
      <c r="U60" s="14" t="str">
        <f t="shared" si="18"/>
        <v/>
      </c>
      <c r="V60" s="14" t="str">
        <f t="shared" si="19"/>
        <v/>
      </c>
      <c r="W60" s="103" t="str">
        <f t="shared" si="20"/>
        <v/>
      </c>
      <c r="X60" s="103" t="str">
        <f t="shared" si="21"/>
        <v/>
      </c>
      <c r="Y60" s="100" t="str">
        <f t="shared" si="22"/>
        <v/>
      </c>
      <c r="Z60" s="100" t="str">
        <f t="shared" si="23"/>
        <v/>
      </c>
      <c r="AA60" s="100" t="e">
        <f t="shared" si="24"/>
        <v>#VALUE!</v>
      </c>
      <c r="AB60" s="100" t="e">
        <f t="shared" si="25"/>
        <v>#VALUE!</v>
      </c>
      <c r="AC60" s="100" t="e">
        <f t="shared" si="26"/>
        <v>#VALUE!</v>
      </c>
      <c r="AD60" s="100" t="e">
        <f t="shared" si="27"/>
        <v>#VALUE!</v>
      </c>
      <c r="AE60" s="8" t="str">
        <f t="shared" si="28"/>
        <v/>
      </c>
      <c r="AF60" s="8" t="str">
        <f t="shared" si="29"/>
        <v/>
      </c>
      <c r="AG60" s="7" t="str">
        <f t="shared" si="30"/>
        <v>Good</v>
      </c>
      <c r="AI60" s="100">
        <f t="shared" si="0"/>
        <v>28.929719446</v>
      </c>
      <c r="AJ60" s="100">
        <f t="shared" si="1"/>
        <v>47.947378215000001</v>
      </c>
    </row>
    <row r="61" spans="1:36" x14ac:dyDescent="0.2">
      <c r="A61" s="8">
        <v>2.1760000000000002</v>
      </c>
      <c r="B61" s="100">
        <v>28.929844194000001</v>
      </c>
      <c r="C61" s="100">
        <v>47.946903990000003</v>
      </c>
      <c r="D61" s="101">
        <v>2175.6567792847763</v>
      </c>
      <c r="E61" s="42" t="str">
        <f t="shared" si="31"/>
        <v/>
      </c>
      <c r="F61" s="7" t="str">
        <f t="shared" si="3"/>
        <v/>
      </c>
      <c r="G61" s="100" t="str">
        <f t="shared" si="4"/>
        <v/>
      </c>
      <c r="H61" s="100" t="str">
        <f t="shared" si="5"/>
        <v/>
      </c>
      <c r="I61" s="100" t="str">
        <f t="shared" si="6"/>
        <v/>
      </c>
      <c r="J61" s="100" t="str">
        <f t="shared" si="7"/>
        <v/>
      </c>
      <c r="K61" s="102" t="str">
        <f t="shared" si="8"/>
        <v/>
      </c>
      <c r="L61" s="103" t="str">
        <f t="shared" si="9"/>
        <v/>
      </c>
      <c r="M61" s="103" t="str">
        <f t="shared" si="10"/>
        <v/>
      </c>
      <c r="N61" s="103" t="str">
        <f t="shared" si="11"/>
        <v/>
      </c>
      <c r="O61" s="103" t="str">
        <f t="shared" si="12"/>
        <v/>
      </c>
      <c r="P61" s="105" t="str">
        <f t="shared" si="13"/>
        <v/>
      </c>
      <c r="Q61" s="105" t="str">
        <f t="shared" si="14"/>
        <v/>
      </c>
      <c r="R61" s="104" t="str">
        <f t="shared" si="15"/>
        <v/>
      </c>
      <c r="S61" s="104" t="str">
        <f t="shared" si="16"/>
        <v/>
      </c>
      <c r="T61" s="105" t="str">
        <f t="shared" si="17"/>
        <v/>
      </c>
      <c r="U61" s="14" t="str">
        <f t="shared" si="18"/>
        <v/>
      </c>
      <c r="V61" s="14" t="str">
        <f t="shared" si="19"/>
        <v/>
      </c>
      <c r="W61" s="103" t="str">
        <f t="shared" si="20"/>
        <v/>
      </c>
      <c r="X61" s="103" t="str">
        <f t="shared" si="21"/>
        <v/>
      </c>
      <c r="Y61" s="100" t="str">
        <f t="shared" si="22"/>
        <v/>
      </c>
      <c r="Z61" s="100" t="str">
        <f t="shared" si="23"/>
        <v/>
      </c>
      <c r="AA61" s="100" t="e">
        <f t="shared" si="24"/>
        <v>#VALUE!</v>
      </c>
      <c r="AB61" s="100" t="e">
        <f t="shared" si="25"/>
        <v>#VALUE!</v>
      </c>
      <c r="AC61" s="100" t="e">
        <f t="shared" si="26"/>
        <v>#VALUE!</v>
      </c>
      <c r="AD61" s="100" t="e">
        <f t="shared" si="27"/>
        <v>#VALUE!</v>
      </c>
      <c r="AE61" s="8" t="str">
        <f t="shared" si="28"/>
        <v/>
      </c>
      <c r="AF61" s="8" t="str">
        <f t="shared" si="29"/>
        <v/>
      </c>
      <c r="AG61" s="7" t="str">
        <f t="shared" si="30"/>
        <v>Good</v>
      </c>
      <c r="AI61" s="100">
        <f t="shared" si="0"/>
        <v>28.929844194000001</v>
      </c>
      <c r="AJ61" s="100">
        <f t="shared" si="1"/>
        <v>47.946903990000003</v>
      </c>
    </row>
    <row r="62" spans="1:36" x14ac:dyDescent="0.2">
      <c r="A62" s="8">
        <v>2.198</v>
      </c>
      <c r="B62" s="100">
        <v>28.929903038999999</v>
      </c>
      <c r="C62" s="100">
        <v>47.946687978</v>
      </c>
      <c r="D62" s="101">
        <v>2197.6588989180509</v>
      </c>
      <c r="E62" s="42" t="str">
        <f t="shared" si="31"/>
        <v/>
      </c>
      <c r="F62" s="7" t="str">
        <f t="shared" si="3"/>
        <v/>
      </c>
      <c r="G62" s="100" t="str">
        <f t="shared" si="4"/>
        <v/>
      </c>
      <c r="H62" s="100" t="str">
        <f t="shared" si="5"/>
        <v/>
      </c>
      <c r="I62" s="100" t="str">
        <f t="shared" si="6"/>
        <v/>
      </c>
      <c r="J62" s="100" t="str">
        <f t="shared" si="7"/>
        <v/>
      </c>
      <c r="K62" s="102" t="str">
        <f t="shared" si="8"/>
        <v/>
      </c>
      <c r="L62" s="103" t="str">
        <f t="shared" si="9"/>
        <v/>
      </c>
      <c r="M62" s="103" t="str">
        <f t="shared" si="10"/>
        <v/>
      </c>
      <c r="N62" s="103" t="str">
        <f t="shared" si="11"/>
        <v/>
      </c>
      <c r="O62" s="103" t="str">
        <f t="shared" si="12"/>
        <v/>
      </c>
      <c r="P62" s="105" t="str">
        <f t="shared" si="13"/>
        <v/>
      </c>
      <c r="Q62" s="105" t="str">
        <f t="shared" si="14"/>
        <v/>
      </c>
      <c r="R62" s="104" t="str">
        <f t="shared" si="15"/>
        <v/>
      </c>
      <c r="S62" s="104" t="str">
        <f t="shared" si="16"/>
        <v/>
      </c>
      <c r="T62" s="105" t="str">
        <f t="shared" si="17"/>
        <v/>
      </c>
      <c r="U62" s="14" t="str">
        <f t="shared" si="18"/>
        <v/>
      </c>
      <c r="V62" s="14" t="str">
        <f t="shared" si="19"/>
        <v/>
      </c>
      <c r="W62" s="103" t="str">
        <f t="shared" si="20"/>
        <v/>
      </c>
      <c r="X62" s="103" t="str">
        <f t="shared" si="21"/>
        <v/>
      </c>
      <c r="Y62" s="100" t="str">
        <f t="shared" si="22"/>
        <v/>
      </c>
      <c r="Z62" s="100" t="str">
        <f t="shared" si="23"/>
        <v/>
      </c>
      <c r="AA62" s="100" t="e">
        <f t="shared" si="24"/>
        <v>#VALUE!</v>
      </c>
      <c r="AB62" s="100" t="e">
        <f t="shared" si="25"/>
        <v>#VALUE!</v>
      </c>
      <c r="AC62" s="100" t="e">
        <f t="shared" si="26"/>
        <v>#VALUE!</v>
      </c>
      <c r="AD62" s="100" t="e">
        <f t="shared" si="27"/>
        <v>#VALUE!</v>
      </c>
      <c r="AE62" s="8" t="str">
        <f t="shared" si="28"/>
        <v/>
      </c>
      <c r="AF62" s="8" t="str">
        <f t="shared" si="29"/>
        <v/>
      </c>
      <c r="AG62" s="7" t="str">
        <f t="shared" si="30"/>
        <v>Good</v>
      </c>
      <c r="AI62" s="100">
        <f t="shared" si="0"/>
        <v>28.929903038999999</v>
      </c>
      <c r="AJ62" s="100">
        <f t="shared" si="1"/>
        <v>47.946687978</v>
      </c>
    </row>
    <row r="63" spans="1:36" x14ac:dyDescent="0.2">
      <c r="A63" s="8">
        <v>2.2440000000000002</v>
      </c>
      <c r="B63" s="100">
        <v>28.929929231999999</v>
      </c>
      <c r="C63" s="100">
        <v>47.946216108000002</v>
      </c>
      <c r="D63" s="101">
        <v>2243.6419335228134</v>
      </c>
      <c r="E63" s="42" t="str">
        <f t="shared" si="31"/>
        <v/>
      </c>
      <c r="F63" s="7" t="str">
        <f t="shared" si="3"/>
        <v/>
      </c>
      <c r="G63" s="100" t="str">
        <f t="shared" si="4"/>
        <v/>
      </c>
      <c r="H63" s="100" t="str">
        <f t="shared" si="5"/>
        <v/>
      </c>
      <c r="I63" s="100" t="str">
        <f t="shared" si="6"/>
        <v/>
      </c>
      <c r="J63" s="100" t="str">
        <f t="shared" si="7"/>
        <v/>
      </c>
      <c r="K63" s="102" t="str">
        <f t="shared" si="8"/>
        <v/>
      </c>
      <c r="L63" s="103" t="str">
        <f t="shared" si="9"/>
        <v/>
      </c>
      <c r="M63" s="103" t="str">
        <f t="shared" si="10"/>
        <v/>
      </c>
      <c r="N63" s="103" t="str">
        <f t="shared" si="11"/>
        <v/>
      </c>
      <c r="O63" s="103" t="str">
        <f t="shared" si="12"/>
        <v/>
      </c>
      <c r="P63" s="105" t="str">
        <f t="shared" si="13"/>
        <v/>
      </c>
      <c r="Q63" s="105" t="str">
        <f t="shared" si="14"/>
        <v/>
      </c>
      <c r="R63" s="104" t="str">
        <f t="shared" si="15"/>
        <v/>
      </c>
      <c r="S63" s="104" t="str">
        <f t="shared" si="16"/>
        <v/>
      </c>
      <c r="T63" s="105" t="str">
        <f t="shared" si="17"/>
        <v/>
      </c>
      <c r="U63" s="14" t="str">
        <f t="shared" si="18"/>
        <v/>
      </c>
      <c r="V63" s="14" t="str">
        <f t="shared" si="19"/>
        <v/>
      </c>
      <c r="W63" s="103" t="str">
        <f t="shared" si="20"/>
        <v/>
      </c>
      <c r="X63" s="103" t="str">
        <f t="shared" si="21"/>
        <v/>
      </c>
      <c r="Y63" s="100" t="str">
        <f t="shared" si="22"/>
        <v/>
      </c>
      <c r="Z63" s="100" t="str">
        <f t="shared" si="23"/>
        <v/>
      </c>
      <c r="AA63" s="100" t="e">
        <f t="shared" si="24"/>
        <v>#VALUE!</v>
      </c>
      <c r="AB63" s="100" t="e">
        <f t="shared" si="25"/>
        <v>#VALUE!</v>
      </c>
      <c r="AC63" s="100" t="e">
        <f t="shared" si="26"/>
        <v>#VALUE!</v>
      </c>
      <c r="AD63" s="100" t="e">
        <f t="shared" si="27"/>
        <v>#VALUE!</v>
      </c>
      <c r="AE63" s="8" t="str">
        <f t="shared" si="28"/>
        <v/>
      </c>
      <c r="AF63" s="8" t="str">
        <f t="shared" si="29"/>
        <v/>
      </c>
      <c r="AG63" s="7" t="str">
        <f t="shared" si="30"/>
        <v>Good</v>
      </c>
      <c r="AI63" s="100">
        <f t="shared" si="0"/>
        <v>28.929929231999999</v>
      </c>
      <c r="AJ63" s="100">
        <f t="shared" si="1"/>
        <v>47.946216108000002</v>
      </c>
    </row>
    <row r="64" spans="1:36" x14ac:dyDescent="0.2">
      <c r="A64" s="8">
        <v>2.38</v>
      </c>
      <c r="B64" s="100">
        <v>28.930321805999998</v>
      </c>
      <c r="C64" s="100">
        <v>47.944892881000001</v>
      </c>
      <c r="D64" s="101">
        <v>2379.5225214253114</v>
      </c>
      <c r="E64" s="42" t="str">
        <f t="shared" si="31"/>
        <v/>
      </c>
      <c r="F64" s="7" t="str">
        <f t="shared" si="3"/>
        <v/>
      </c>
      <c r="G64" s="100" t="str">
        <f t="shared" si="4"/>
        <v/>
      </c>
      <c r="H64" s="100" t="str">
        <f t="shared" si="5"/>
        <v/>
      </c>
      <c r="I64" s="100" t="str">
        <f t="shared" si="6"/>
        <v/>
      </c>
      <c r="J64" s="100" t="str">
        <f t="shared" si="7"/>
        <v/>
      </c>
      <c r="K64" s="102" t="str">
        <f t="shared" si="8"/>
        <v/>
      </c>
      <c r="L64" s="103" t="str">
        <f t="shared" si="9"/>
        <v/>
      </c>
      <c r="M64" s="103" t="str">
        <f t="shared" si="10"/>
        <v/>
      </c>
      <c r="N64" s="103" t="str">
        <f t="shared" si="11"/>
        <v/>
      </c>
      <c r="O64" s="103" t="str">
        <f t="shared" si="12"/>
        <v/>
      </c>
      <c r="P64" s="105" t="str">
        <f t="shared" si="13"/>
        <v/>
      </c>
      <c r="Q64" s="105" t="str">
        <f t="shared" si="14"/>
        <v/>
      </c>
      <c r="R64" s="104" t="str">
        <f t="shared" si="15"/>
        <v/>
      </c>
      <c r="S64" s="104" t="str">
        <f t="shared" si="16"/>
        <v/>
      </c>
      <c r="T64" s="105" t="str">
        <f t="shared" si="17"/>
        <v/>
      </c>
      <c r="U64" s="14" t="str">
        <f t="shared" si="18"/>
        <v/>
      </c>
      <c r="V64" s="14" t="str">
        <f t="shared" si="19"/>
        <v/>
      </c>
      <c r="W64" s="103" t="str">
        <f t="shared" si="20"/>
        <v/>
      </c>
      <c r="X64" s="103" t="str">
        <f t="shared" si="21"/>
        <v/>
      </c>
      <c r="Y64" s="100" t="str">
        <f t="shared" si="22"/>
        <v/>
      </c>
      <c r="Z64" s="100" t="str">
        <f t="shared" si="23"/>
        <v/>
      </c>
      <c r="AA64" s="100" t="e">
        <f t="shared" si="24"/>
        <v>#VALUE!</v>
      </c>
      <c r="AB64" s="100" t="e">
        <f t="shared" si="25"/>
        <v>#VALUE!</v>
      </c>
      <c r="AC64" s="100" t="e">
        <f t="shared" si="26"/>
        <v>#VALUE!</v>
      </c>
      <c r="AD64" s="100" t="e">
        <f t="shared" si="27"/>
        <v>#VALUE!</v>
      </c>
      <c r="AE64" s="8" t="str">
        <f t="shared" si="28"/>
        <v/>
      </c>
      <c r="AF64" s="8" t="str">
        <f t="shared" si="29"/>
        <v/>
      </c>
      <c r="AG64" s="7" t="str">
        <f t="shared" si="30"/>
        <v>Good</v>
      </c>
      <c r="AI64" s="100">
        <f t="shared" si="0"/>
        <v>28.930321805999998</v>
      </c>
      <c r="AJ64" s="100">
        <f t="shared" si="1"/>
        <v>47.944892881000001</v>
      </c>
    </row>
    <row r="65" spans="1:36" x14ac:dyDescent="0.2">
      <c r="A65" s="8">
        <v>2.4260000000000002</v>
      </c>
      <c r="B65" s="100">
        <v>28.930457332</v>
      </c>
      <c r="C65" s="100">
        <v>47.944437841999999</v>
      </c>
      <c r="D65" s="101">
        <v>2426.2686614114828</v>
      </c>
      <c r="E65" s="42" t="str">
        <f t="shared" si="31"/>
        <v/>
      </c>
      <c r="F65" s="7" t="str">
        <f t="shared" si="3"/>
        <v/>
      </c>
      <c r="G65" s="100" t="str">
        <f t="shared" si="4"/>
        <v/>
      </c>
      <c r="H65" s="100" t="str">
        <f t="shared" si="5"/>
        <v/>
      </c>
      <c r="I65" s="100" t="str">
        <f t="shared" si="6"/>
        <v/>
      </c>
      <c r="J65" s="100" t="str">
        <f t="shared" si="7"/>
        <v/>
      </c>
      <c r="K65" s="102" t="str">
        <f t="shared" si="8"/>
        <v/>
      </c>
      <c r="L65" s="103" t="str">
        <f t="shared" si="9"/>
        <v/>
      </c>
      <c r="M65" s="103" t="str">
        <f t="shared" si="10"/>
        <v/>
      </c>
      <c r="N65" s="103" t="str">
        <f t="shared" si="11"/>
        <v/>
      </c>
      <c r="O65" s="103" t="str">
        <f t="shared" si="12"/>
        <v/>
      </c>
      <c r="P65" s="105" t="str">
        <f t="shared" si="13"/>
        <v/>
      </c>
      <c r="Q65" s="105" t="str">
        <f t="shared" si="14"/>
        <v/>
      </c>
      <c r="R65" s="104" t="str">
        <f t="shared" si="15"/>
        <v/>
      </c>
      <c r="S65" s="104" t="str">
        <f t="shared" si="16"/>
        <v/>
      </c>
      <c r="T65" s="105" t="str">
        <f t="shared" si="17"/>
        <v/>
      </c>
      <c r="U65" s="14" t="str">
        <f t="shared" si="18"/>
        <v/>
      </c>
      <c r="V65" s="14" t="str">
        <f t="shared" si="19"/>
        <v/>
      </c>
      <c r="W65" s="103" t="str">
        <f t="shared" si="20"/>
        <v/>
      </c>
      <c r="X65" s="103" t="str">
        <f t="shared" si="21"/>
        <v/>
      </c>
      <c r="Y65" s="100" t="str">
        <f t="shared" si="22"/>
        <v/>
      </c>
      <c r="Z65" s="100" t="str">
        <f t="shared" si="23"/>
        <v/>
      </c>
      <c r="AA65" s="100" t="e">
        <f t="shared" si="24"/>
        <v>#VALUE!</v>
      </c>
      <c r="AB65" s="100" t="e">
        <f t="shared" si="25"/>
        <v>#VALUE!</v>
      </c>
      <c r="AC65" s="100" t="e">
        <f t="shared" si="26"/>
        <v>#VALUE!</v>
      </c>
      <c r="AD65" s="100" t="e">
        <f t="shared" si="27"/>
        <v>#VALUE!</v>
      </c>
      <c r="AE65" s="8" t="str">
        <f t="shared" si="28"/>
        <v/>
      </c>
      <c r="AF65" s="8" t="str">
        <f t="shared" si="29"/>
        <v/>
      </c>
      <c r="AG65" s="7" t="str">
        <f t="shared" si="30"/>
        <v>Good</v>
      </c>
      <c r="AI65" s="100">
        <f t="shared" si="0"/>
        <v>28.930457332</v>
      </c>
      <c r="AJ65" s="100">
        <f t="shared" si="1"/>
        <v>47.944437841999999</v>
      </c>
    </row>
    <row r="66" spans="1:36" x14ac:dyDescent="0.2">
      <c r="A66" s="8">
        <v>2.452</v>
      </c>
      <c r="B66" s="100">
        <v>28.930546501999999</v>
      </c>
      <c r="C66" s="100">
        <v>47.944197555999999</v>
      </c>
      <c r="D66" s="101">
        <v>2451.6508918302015</v>
      </c>
      <c r="E66" s="42" t="str">
        <f t="shared" si="31"/>
        <v/>
      </c>
      <c r="F66" s="7" t="str">
        <f t="shared" si="3"/>
        <v/>
      </c>
      <c r="G66" s="100" t="str">
        <f t="shared" si="4"/>
        <v/>
      </c>
      <c r="H66" s="100" t="str">
        <f t="shared" si="5"/>
        <v/>
      </c>
      <c r="I66" s="100" t="str">
        <f t="shared" si="6"/>
        <v/>
      </c>
      <c r="J66" s="100" t="str">
        <f t="shared" si="7"/>
        <v/>
      </c>
      <c r="K66" s="102" t="str">
        <f t="shared" si="8"/>
        <v/>
      </c>
      <c r="L66" s="103" t="str">
        <f t="shared" si="9"/>
        <v/>
      </c>
      <c r="M66" s="103" t="str">
        <f t="shared" si="10"/>
        <v/>
      </c>
      <c r="N66" s="103" t="str">
        <f t="shared" si="11"/>
        <v/>
      </c>
      <c r="O66" s="103" t="str">
        <f t="shared" si="12"/>
        <v/>
      </c>
      <c r="P66" s="105" t="str">
        <f t="shared" si="13"/>
        <v/>
      </c>
      <c r="Q66" s="105" t="str">
        <f t="shared" si="14"/>
        <v/>
      </c>
      <c r="R66" s="104" t="str">
        <f t="shared" si="15"/>
        <v/>
      </c>
      <c r="S66" s="104" t="str">
        <f t="shared" si="16"/>
        <v/>
      </c>
      <c r="T66" s="105" t="str">
        <f t="shared" si="17"/>
        <v/>
      </c>
      <c r="U66" s="14" t="str">
        <f t="shared" si="18"/>
        <v/>
      </c>
      <c r="V66" s="14" t="str">
        <f t="shared" si="19"/>
        <v/>
      </c>
      <c r="W66" s="103" t="str">
        <f t="shared" si="20"/>
        <v/>
      </c>
      <c r="X66" s="103" t="str">
        <f t="shared" si="21"/>
        <v/>
      </c>
      <c r="Y66" s="100" t="str">
        <f t="shared" si="22"/>
        <v/>
      </c>
      <c r="Z66" s="100" t="str">
        <f t="shared" si="23"/>
        <v/>
      </c>
      <c r="AA66" s="100" t="e">
        <f t="shared" si="24"/>
        <v>#VALUE!</v>
      </c>
      <c r="AB66" s="100" t="e">
        <f t="shared" si="25"/>
        <v>#VALUE!</v>
      </c>
      <c r="AC66" s="100" t="e">
        <f t="shared" si="26"/>
        <v>#VALUE!</v>
      </c>
      <c r="AD66" s="100" t="e">
        <f t="shared" si="27"/>
        <v>#VALUE!</v>
      </c>
      <c r="AE66" s="8" t="str">
        <f t="shared" si="28"/>
        <v/>
      </c>
      <c r="AF66" s="8" t="str">
        <f t="shared" si="29"/>
        <v/>
      </c>
      <c r="AG66" s="7" t="str">
        <f t="shared" si="30"/>
        <v>Good</v>
      </c>
      <c r="AI66" s="100">
        <f t="shared" si="0"/>
        <v>28.930546501999999</v>
      </c>
      <c r="AJ66" s="100">
        <f t="shared" si="1"/>
        <v>47.944197555999999</v>
      </c>
    </row>
    <row r="67" spans="1:36" x14ac:dyDescent="0.2">
      <c r="A67" s="8">
        <v>2.5939999999999999</v>
      </c>
      <c r="B67" s="100">
        <v>28.930912028000002</v>
      </c>
      <c r="C67" s="100">
        <v>47.942797184</v>
      </c>
      <c r="D67" s="101">
        <v>2593.768496009453</v>
      </c>
      <c r="E67" s="42" t="str">
        <f t="shared" si="31"/>
        <v/>
      </c>
      <c r="F67" s="7" t="str">
        <f t="shared" si="3"/>
        <v/>
      </c>
      <c r="G67" s="100" t="str">
        <f t="shared" si="4"/>
        <v/>
      </c>
      <c r="H67" s="100" t="str">
        <f t="shared" si="5"/>
        <v/>
      </c>
      <c r="I67" s="100" t="str">
        <f t="shared" si="6"/>
        <v/>
      </c>
      <c r="J67" s="100" t="str">
        <f t="shared" si="7"/>
        <v/>
      </c>
      <c r="K67" s="102" t="str">
        <f t="shared" si="8"/>
        <v/>
      </c>
      <c r="L67" s="103" t="str">
        <f t="shared" si="9"/>
        <v/>
      </c>
      <c r="M67" s="103" t="str">
        <f t="shared" si="10"/>
        <v/>
      </c>
      <c r="N67" s="103" t="str">
        <f t="shared" si="11"/>
        <v/>
      </c>
      <c r="O67" s="103" t="str">
        <f t="shared" si="12"/>
        <v/>
      </c>
      <c r="P67" s="105" t="str">
        <f t="shared" si="13"/>
        <v/>
      </c>
      <c r="Q67" s="105" t="str">
        <f t="shared" si="14"/>
        <v/>
      </c>
      <c r="R67" s="104" t="str">
        <f t="shared" si="15"/>
        <v/>
      </c>
      <c r="S67" s="104" t="str">
        <f t="shared" si="16"/>
        <v/>
      </c>
      <c r="T67" s="105" t="str">
        <f t="shared" si="17"/>
        <v/>
      </c>
      <c r="U67" s="14" t="str">
        <f t="shared" si="18"/>
        <v/>
      </c>
      <c r="V67" s="14" t="str">
        <f t="shared" si="19"/>
        <v/>
      </c>
      <c r="W67" s="103" t="str">
        <f t="shared" si="20"/>
        <v/>
      </c>
      <c r="X67" s="103" t="str">
        <f t="shared" si="21"/>
        <v/>
      </c>
      <c r="Y67" s="100" t="str">
        <f t="shared" si="22"/>
        <v/>
      </c>
      <c r="Z67" s="100" t="str">
        <f t="shared" si="23"/>
        <v/>
      </c>
      <c r="AA67" s="100" t="e">
        <f t="shared" si="24"/>
        <v>#VALUE!</v>
      </c>
      <c r="AB67" s="100" t="e">
        <f t="shared" si="25"/>
        <v>#VALUE!</v>
      </c>
      <c r="AC67" s="100" t="e">
        <f t="shared" si="26"/>
        <v>#VALUE!</v>
      </c>
      <c r="AD67" s="100" t="e">
        <f t="shared" si="27"/>
        <v>#VALUE!</v>
      </c>
      <c r="AE67" s="8" t="str">
        <f t="shared" si="28"/>
        <v/>
      </c>
      <c r="AF67" s="8" t="str">
        <f t="shared" si="29"/>
        <v/>
      </c>
      <c r="AG67" s="7" t="str">
        <f t="shared" si="30"/>
        <v>Good</v>
      </c>
      <c r="AI67" s="100">
        <f t="shared" ref="AI67:AI130" si="32">IF(B67="",Y67,B67)</f>
        <v>28.930912028000002</v>
      </c>
      <c r="AJ67" s="100">
        <f t="shared" ref="AJ67:AJ130" si="33">IF(C67="",Z67,C67)</f>
        <v>47.942797184</v>
      </c>
    </row>
    <row r="68" spans="1:36" x14ac:dyDescent="0.2">
      <c r="A68" s="8">
        <v>2.6040000000000001</v>
      </c>
      <c r="B68" s="100">
        <v>28.930938665999999</v>
      </c>
      <c r="C68" s="100">
        <v>47.942693714999997</v>
      </c>
      <c r="D68" s="101">
        <v>2604.257653491672</v>
      </c>
      <c r="E68" s="42" t="str">
        <f t="shared" ref="E68:E131" si="34">IF(F68=1,D68-D67,"")</f>
        <v/>
      </c>
      <c r="F68" s="7" t="str">
        <f t="shared" ref="F68:F131" si="35">IF(C68="",1,"")</f>
        <v/>
      </c>
      <c r="G68" s="100" t="str">
        <f t="shared" ref="G68:G131" si="36">IF(F68=1,IF(B67="",G67,B67),"")</f>
        <v/>
      </c>
      <c r="H68" s="100" t="str">
        <f t="shared" ref="H68:H131" si="37">IF(F68=1,IF(C67="",H67,C67),"")</f>
        <v/>
      </c>
      <c r="I68" s="100" t="str">
        <f t="shared" ref="I68:I131" si="38">IF(F68=1,IF(B69="",I69,B69),"")</f>
        <v/>
      </c>
      <c r="J68" s="100" t="str">
        <f t="shared" ref="J68:J131" si="39">IF(F68=1,IF(C69="",J69,C69),"")</f>
        <v/>
      </c>
      <c r="K68" s="102" t="str">
        <f t="shared" ref="K68:K131" si="40">IF(F68=1,utmzone_long(J68),"")</f>
        <v/>
      </c>
      <c r="L68" s="103" t="str">
        <f t="shared" ref="L68:L131" si="41">IF(F68=1,northing(G68,H68),"")</f>
        <v/>
      </c>
      <c r="M68" s="103" t="str">
        <f t="shared" ref="M68:M131" si="42">IF(F68=1,easting(G68,H68),"")</f>
        <v/>
      </c>
      <c r="N68" s="103" t="str">
        <f t="shared" ref="N68:N131" si="43">IF(F68=1,northing(I68,J68),"")</f>
        <v/>
      </c>
      <c r="O68" s="103" t="str">
        <f t="shared" ref="O68:O131" si="44">IF(F68=1,easting(I68,J68),"")</f>
        <v/>
      </c>
      <c r="P68" s="105" t="str">
        <f t="shared" ref="P68:P131" si="45">IF(F68=1,N68-L68,"")</f>
        <v/>
      </c>
      <c r="Q68" s="105" t="str">
        <f t="shared" ref="Q68:Q131" si="46">IF(F68=1,O68-M68,"")</f>
        <v/>
      </c>
      <c r="R68" s="104" t="str">
        <f t="shared" ref="R68:R131" si="47">IF(F68=1,SQRT(ABS(L68-N68)^2+ABS(M68-O68)^2),"")</f>
        <v/>
      </c>
      <c r="S68" s="104" t="str">
        <f t="shared" ref="S68:S131" si="48">IF(F68=1,IF(N68&lt;L68,"S","N") &amp; IF(O68&lt;M68,"W","E"),"")</f>
        <v/>
      </c>
      <c r="T68" s="105" t="str">
        <f t="shared" ref="T68:T131" si="49">IF(F68=1,ABS(ATAN((P68)/Q68)),"")</f>
        <v/>
      </c>
      <c r="U68" s="14" t="str">
        <f t="shared" ref="U68:U131" si="50">IF(F68=1,IF(Q68&lt;0,-1*COS(T68)*E68,COS(T68)*E68),"")</f>
        <v/>
      </c>
      <c r="V68" s="14" t="str">
        <f t="shared" ref="V68:V131" si="51">IF(F68=1,IF(P68&lt;0,-1*SIN(T68)*E68,SIN(T68)*E68),"")</f>
        <v/>
      </c>
      <c r="W68" s="103" t="str">
        <f t="shared" ref="W68:W131" si="52">IF(F68=1,V68+L68,"")</f>
        <v/>
      </c>
      <c r="X68" s="103" t="str">
        <f t="shared" ref="X68:X131" si="53">IF(F68=1,U68+M68,"")</f>
        <v/>
      </c>
      <c r="Y68" s="100" t="str">
        <f t="shared" ref="Y68:Y131" si="54">IF(F68=1,latitude(K68,W68,X68),"")</f>
        <v/>
      </c>
      <c r="Z68" s="100" t="str">
        <f t="shared" ref="Z68:Z131" si="55">IF(F68=1,longitude(K68,W68,X68),"")</f>
        <v/>
      </c>
      <c r="AA68" s="100" t="e">
        <f t="shared" ref="AA68:AA131" si="56">B67-Y68</f>
        <v>#VALUE!</v>
      </c>
      <c r="AB68" s="100" t="e">
        <f t="shared" ref="AB68:AB131" si="57">Y68-B69</f>
        <v>#VALUE!</v>
      </c>
      <c r="AC68" s="100" t="e">
        <f t="shared" ref="AC68:AC131" si="58">C67-Z68</f>
        <v>#VALUE!</v>
      </c>
      <c r="AD68" s="100" t="e">
        <f t="shared" ref="AD68:AD131" si="59">Z68-C69</f>
        <v>#VALUE!</v>
      </c>
      <c r="AE68" s="8" t="str">
        <f t="shared" ref="AE68:AE131" si="60">IF(E68="","",IF(OR(AND(AA68&gt;0,AB68&gt;0),AND(AA68&lt;0,AB68&lt;0)),"Good",""))</f>
        <v/>
      </c>
      <c r="AF68" s="8" t="str">
        <f t="shared" ref="AF68:AF131" si="61">IF(E68="","",IF(OR(AND(AC68&gt;0,AD68&gt;0),AND(AC68&lt;0,AD68&lt;0)),"Good",""))</f>
        <v/>
      </c>
      <c r="AG68" s="7" t="str">
        <f t="shared" ref="AG68:AG131" si="62">IF(F68=1,IF(AND(AE68="Good",AF68="Good"),"Good",""),"Good")</f>
        <v>Good</v>
      </c>
      <c r="AI68" s="100">
        <f t="shared" si="32"/>
        <v>28.930938665999999</v>
      </c>
      <c r="AJ68" s="100">
        <f t="shared" si="33"/>
        <v>47.942693714999997</v>
      </c>
    </row>
    <row r="69" spans="1:36" x14ac:dyDescent="0.2">
      <c r="A69" s="8">
        <v>2.6880000000000002</v>
      </c>
      <c r="B69" s="100">
        <v>28.931153808000001</v>
      </c>
      <c r="C69" s="100">
        <v>47.941871956999996</v>
      </c>
      <c r="D69" s="101">
        <v>2687.6746021969898</v>
      </c>
      <c r="E69" s="42" t="str">
        <f t="shared" si="34"/>
        <v/>
      </c>
      <c r="F69" s="7" t="str">
        <f t="shared" si="35"/>
        <v/>
      </c>
      <c r="G69" s="100" t="str">
        <f t="shared" si="36"/>
        <v/>
      </c>
      <c r="H69" s="100" t="str">
        <f t="shared" si="37"/>
        <v/>
      </c>
      <c r="I69" s="100" t="str">
        <f t="shared" si="38"/>
        <v/>
      </c>
      <c r="J69" s="100" t="str">
        <f t="shared" si="39"/>
        <v/>
      </c>
      <c r="K69" s="102" t="str">
        <f t="shared" si="40"/>
        <v/>
      </c>
      <c r="L69" s="103" t="str">
        <f t="shared" si="41"/>
        <v/>
      </c>
      <c r="M69" s="103" t="str">
        <f t="shared" si="42"/>
        <v/>
      </c>
      <c r="N69" s="103" t="str">
        <f t="shared" si="43"/>
        <v/>
      </c>
      <c r="O69" s="103" t="str">
        <f t="shared" si="44"/>
        <v/>
      </c>
      <c r="P69" s="105" t="str">
        <f t="shared" si="45"/>
        <v/>
      </c>
      <c r="Q69" s="105" t="str">
        <f t="shared" si="46"/>
        <v/>
      </c>
      <c r="R69" s="104" t="str">
        <f t="shared" si="47"/>
        <v/>
      </c>
      <c r="S69" s="104" t="str">
        <f t="shared" si="48"/>
        <v/>
      </c>
      <c r="T69" s="105" t="str">
        <f t="shared" si="49"/>
        <v/>
      </c>
      <c r="U69" s="14" t="str">
        <f t="shared" si="50"/>
        <v/>
      </c>
      <c r="V69" s="14" t="str">
        <f t="shared" si="51"/>
        <v/>
      </c>
      <c r="W69" s="103" t="str">
        <f t="shared" si="52"/>
        <v/>
      </c>
      <c r="X69" s="103" t="str">
        <f t="shared" si="53"/>
        <v/>
      </c>
      <c r="Y69" s="100" t="str">
        <f t="shared" si="54"/>
        <v/>
      </c>
      <c r="Z69" s="100" t="str">
        <f t="shared" si="55"/>
        <v/>
      </c>
      <c r="AA69" s="100" t="e">
        <f t="shared" si="56"/>
        <v>#VALUE!</v>
      </c>
      <c r="AB69" s="100" t="e">
        <f t="shared" si="57"/>
        <v>#VALUE!</v>
      </c>
      <c r="AC69" s="100" t="e">
        <f t="shared" si="58"/>
        <v>#VALUE!</v>
      </c>
      <c r="AD69" s="100" t="e">
        <f t="shared" si="59"/>
        <v>#VALUE!</v>
      </c>
      <c r="AE69" s="8" t="str">
        <f t="shared" si="60"/>
        <v/>
      </c>
      <c r="AF69" s="8" t="str">
        <f t="shared" si="61"/>
        <v/>
      </c>
      <c r="AG69" s="7" t="str">
        <f t="shared" si="62"/>
        <v>Good</v>
      </c>
      <c r="AI69" s="100">
        <f t="shared" si="32"/>
        <v>28.931153808000001</v>
      </c>
      <c r="AJ69" s="100">
        <f t="shared" si="33"/>
        <v>47.941871956999996</v>
      </c>
    </row>
    <row r="70" spans="1:36" x14ac:dyDescent="0.2">
      <c r="A70" s="8">
        <v>2.7559999999999998</v>
      </c>
      <c r="B70" s="100">
        <v>28.931323525</v>
      </c>
      <c r="C70" s="100">
        <v>47.941198464000003</v>
      </c>
      <c r="D70" s="101">
        <v>2755.8342551114556</v>
      </c>
      <c r="E70" s="42" t="str">
        <f t="shared" si="34"/>
        <v/>
      </c>
      <c r="F70" s="7" t="str">
        <f t="shared" si="35"/>
        <v/>
      </c>
      <c r="G70" s="100" t="str">
        <f t="shared" si="36"/>
        <v/>
      </c>
      <c r="H70" s="100" t="str">
        <f t="shared" si="37"/>
        <v/>
      </c>
      <c r="I70" s="100" t="str">
        <f t="shared" si="38"/>
        <v/>
      </c>
      <c r="J70" s="100" t="str">
        <f t="shared" si="39"/>
        <v/>
      </c>
      <c r="K70" s="102" t="str">
        <f t="shared" si="40"/>
        <v/>
      </c>
      <c r="L70" s="103" t="str">
        <f t="shared" si="41"/>
        <v/>
      </c>
      <c r="M70" s="103" t="str">
        <f t="shared" si="42"/>
        <v/>
      </c>
      <c r="N70" s="103" t="str">
        <f t="shared" si="43"/>
        <v/>
      </c>
      <c r="O70" s="103" t="str">
        <f t="shared" si="44"/>
        <v/>
      </c>
      <c r="P70" s="105" t="str">
        <f t="shared" si="45"/>
        <v/>
      </c>
      <c r="Q70" s="105" t="str">
        <f t="shared" si="46"/>
        <v/>
      </c>
      <c r="R70" s="104" t="str">
        <f t="shared" si="47"/>
        <v/>
      </c>
      <c r="S70" s="104" t="str">
        <f t="shared" si="48"/>
        <v/>
      </c>
      <c r="T70" s="105" t="str">
        <f t="shared" si="49"/>
        <v/>
      </c>
      <c r="U70" s="14" t="str">
        <f t="shared" si="50"/>
        <v/>
      </c>
      <c r="V70" s="14" t="str">
        <f t="shared" si="51"/>
        <v/>
      </c>
      <c r="W70" s="103" t="str">
        <f t="shared" si="52"/>
        <v/>
      </c>
      <c r="X70" s="103" t="str">
        <f t="shared" si="53"/>
        <v/>
      </c>
      <c r="Y70" s="100" t="str">
        <f t="shared" si="54"/>
        <v/>
      </c>
      <c r="Z70" s="100" t="str">
        <f t="shared" si="55"/>
        <v/>
      </c>
      <c r="AA70" s="100" t="e">
        <f t="shared" si="56"/>
        <v>#VALUE!</v>
      </c>
      <c r="AB70" s="100" t="e">
        <f t="shared" si="57"/>
        <v>#VALUE!</v>
      </c>
      <c r="AC70" s="100" t="e">
        <f t="shared" si="58"/>
        <v>#VALUE!</v>
      </c>
      <c r="AD70" s="100" t="e">
        <f t="shared" si="59"/>
        <v>#VALUE!</v>
      </c>
      <c r="AE70" s="8" t="str">
        <f t="shared" si="60"/>
        <v/>
      </c>
      <c r="AF70" s="8" t="str">
        <f t="shared" si="61"/>
        <v/>
      </c>
      <c r="AG70" s="7" t="str">
        <f t="shared" si="62"/>
        <v>Good</v>
      </c>
      <c r="AI70" s="100">
        <f t="shared" si="32"/>
        <v>28.931323525</v>
      </c>
      <c r="AJ70" s="100">
        <f t="shared" si="33"/>
        <v>47.941198464000003</v>
      </c>
    </row>
    <row r="71" spans="1:36" x14ac:dyDescent="0.2">
      <c r="A71" s="8">
        <v>3.05</v>
      </c>
      <c r="D71" s="101">
        <v>3050</v>
      </c>
      <c r="E71" s="42">
        <f t="shared" si="34"/>
        <v>294.1657448885444</v>
      </c>
      <c r="F71" s="7">
        <f t="shared" si="35"/>
        <v>1</v>
      </c>
      <c r="G71" s="100">
        <f t="shared" si="36"/>
        <v>28.931323525</v>
      </c>
      <c r="H71" s="100">
        <f t="shared" si="37"/>
        <v>47.941198464000003</v>
      </c>
      <c r="I71" s="100">
        <f t="shared" si="38"/>
        <v>28.932089467000001</v>
      </c>
      <c r="J71" s="100">
        <f t="shared" si="39"/>
        <v>47.938288704999998</v>
      </c>
      <c r="K71" s="102">
        <f t="shared" si="40"/>
        <v>38</v>
      </c>
      <c r="L71" s="103">
        <f t="shared" si="41"/>
        <v>3203939.0935966466</v>
      </c>
      <c r="M71" s="103">
        <f t="shared" si="42"/>
        <v>786729.15174598596</v>
      </c>
      <c r="N71" s="103">
        <f t="shared" si="43"/>
        <v>3204016.9619562393</v>
      </c>
      <c r="O71" s="103">
        <f t="shared" si="44"/>
        <v>786443.2456430454</v>
      </c>
      <c r="P71" s="105">
        <f t="shared" si="45"/>
        <v>77.868359592743218</v>
      </c>
      <c r="Q71" s="105">
        <f t="shared" si="46"/>
        <v>-285.90610294055659</v>
      </c>
      <c r="R71" s="104">
        <f t="shared" si="47"/>
        <v>296.32040281479254</v>
      </c>
      <c r="S71" s="104" t="str">
        <f t="shared" si="48"/>
        <v>NW</v>
      </c>
      <c r="T71" s="105">
        <f t="shared" si="49"/>
        <v>0.26590682839426383</v>
      </c>
      <c r="U71" s="14">
        <f t="shared" si="50"/>
        <v>-283.82717133472778</v>
      </c>
      <c r="V71" s="14">
        <f t="shared" si="51"/>
        <v>77.302149245407435</v>
      </c>
      <c r="W71" s="103">
        <f t="shared" si="52"/>
        <v>3204016.3957458921</v>
      </c>
      <c r="X71" s="103">
        <f t="shared" si="53"/>
        <v>786445.3245746512</v>
      </c>
      <c r="Y71" s="100">
        <f t="shared" si="54"/>
        <v>28.932083875953403</v>
      </c>
      <c r="Z71" s="100">
        <f t="shared" si="55"/>
        <v>47.938309864833982</v>
      </c>
      <c r="AA71" s="100">
        <f t="shared" si="56"/>
        <v>-7.6035095340287739E-4</v>
      </c>
      <c r="AB71" s="100">
        <f t="shared" si="57"/>
        <v>-5.5910465981412472E-6</v>
      </c>
      <c r="AC71" s="100">
        <f t="shared" si="58"/>
        <v>2.8885991660203558E-3</v>
      </c>
      <c r="AD71" s="100">
        <f t="shared" si="59"/>
        <v>2.115983398454091E-5</v>
      </c>
      <c r="AE71" s="8" t="str">
        <f t="shared" si="60"/>
        <v>Good</v>
      </c>
      <c r="AF71" s="8" t="str">
        <f t="shared" si="61"/>
        <v>Good</v>
      </c>
      <c r="AG71" s="7" t="str">
        <f t="shared" si="62"/>
        <v>Good</v>
      </c>
      <c r="AI71" s="100">
        <f t="shared" si="32"/>
        <v>28.932083875953403</v>
      </c>
      <c r="AJ71" s="100">
        <f t="shared" si="33"/>
        <v>47.938309864833982</v>
      </c>
    </row>
    <row r="72" spans="1:36" x14ac:dyDescent="0.2">
      <c r="A72" s="8">
        <v>3.0510000000000002</v>
      </c>
      <c r="B72" s="100">
        <v>28.932089467000001</v>
      </c>
      <c r="C72" s="100">
        <v>47.938288704999998</v>
      </c>
      <c r="D72" s="101">
        <v>3051.3354819725755</v>
      </c>
      <c r="E72" s="42" t="str">
        <f t="shared" si="34"/>
        <v/>
      </c>
      <c r="F72" s="7" t="str">
        <f t="shared" si="35"/>
        <v/>
      </c>
      <c r="G72" s="100" t="str">
        <f t="shared" si="36"/>
        <v/>
      </c>
      <c r="H72" s="100" t="str">
        <f t="shared" si="37"/>
        <v/>
      </c>
      <c r="I72" s="100" t="str">
        <f t="shared" si="38"/>
        <v/>
      </c>
      <c r="J72" s="100" t="str">
        <f t="shared" si="39"/>
        <v/>
      </c>
      <c r="K72" s="102" t="str">
        <f t="shared" si="40"/>
        <v/>
      </c>
      <c r="L72" s="103" t="str">
        <f t="shared" si="41"/>
        <v/>
      </c>
      <c r="M72" s="103" t="str">
        <f t="shared" si="42"/>
        <v/>
      </c>
      <c r="N72" s="103" t="str">
        <f t="shared" si="43"/>
        <v/>
      </c>
      <c r="O72" s="103" t="str">
        <f t="shared" si="44"/>
        <v/>
      </c>
      <c r="P72" s="105" t="str">
        <f t="shared" si="45"/>
        <v/>
      </c>
      <c r="Q72" s="105" t="str">
        <f t="shared" si="46"/>
        <v/>
      </c>
      <c r="R72" s="104" t="str">
        <f t="shared" si="47"/>
        <v/>
      </c>
      <c r="S72" s="104" t="str">
        <f t="shared" si="48"/>
        <v/>
      </c>
      <c r="T72" s="105" t="str">
        <f t="shared" si="49"/>
        <v/>
      </c>
      <c r="U72" s="14" t="str">
        <f t="shared" si="50"/>
        <v/>
      </c>
      <c r="V72" s="14" t="str">
        <f t="shared" si="51"/>
        <v/>
      </c>
      <c r="W72" s="103" t="str">
        <f t="shared" si="52"/>
        <v/>
      </c>
      <c r="X72" s="103" t="str">
        <f t="shared" si="53"/>
        <v/>
      </c>
      <c r="Y72" s="100" t="str">
        <f t="shared" si="54"/>
        <v/>
      </c>
      <c r="Z72" s="100" t="str">
        <f t="shared" si="55"/>
        <v/>
      </c>
      <c r="AA72" s="100" t="e">
        <f t="shared" si="56"/>
        <v>#VALUE!</v>
      </c>
      <c r="AB72" s="100" t="e">
        <f t="shared" si="57"/>
        <v>#VALUE!</v>
      </c>
      <c r="AC72" s="100" t="e">
        <f t="shared" si="58"/>
        <v>#VALUE!</v>
      </c>
      <c r="AD72" s="100" t="e">
        <f t="shared" si="59"/>
        <v>#VALUE!</v>
      </c>
      <c r="AE72" s="8" t="str">
        <f t="shared" si="60"/>
        <v/>
      </c>
      <c r="AF72" s="8" t="str">
        <f t="shared" si="61"/>
        <v/>
      </c>
      <c r="AG72" s="7" t="str">
        <f t="shared" si="62"/>
        <v>Good</v>
      </c>
      <c r="AI72" s="100">
        <f t="shared" si="32"/>
        <v>28.932089467000001</v>
      </c>
      <c r="AJ72" s="100">
        <f t="shared" si="33"/>
        <v>47.938288704999998</v>
      </c>
    </row>
    <row r="73" spans="1:36" x14ac:dyDescent="0.2">
      <c r="A73" s="8">
        <v>3.0720000000000001</v>
      </c>
      <c r="B73" s="100">
        <v>28.932148367</v>
      </c>
      <c r="C73" s="100">
        <v>47.938088800000003</v>
      </c>
      <c r="D73" s="101">
        <v>3071.8484917808805</v>
      </c>
      <c r="E73" s="42" t="str">
        <f t="shared" si="34"/>
        <v/>
      </c>
      <c r="F73" s="7" t="str">
        <f t="shared" si="35"/>
        <v/>
      </c>
      <c r="G73" s="100" t="str">
        <f t="shared" si="36"/>
        <v/>
      </c>
      <c r="H73" s="100" t="str">
        <f t="shared" si="37"/>
        <v/>
      </c>
      <c r="I73" s="100" t="str">
        <f t="shared" si="38"/>
        <v/>
      </c>
      <c r="J73" s="100" t="str">
        <f t="shared" si="39"/>
        <v/>
      </c>
      <c r="K73" s="102" t="str">
        <f t="shared" si="40"/>
        <v/>
      </c>
      <c r="L73" s="103" t="str">
        <f t="shared" si="41"/>
        <v/>
      </c>
      <c r="M73" s="103" t="str">
        <f t="shared" si="42"/>
        <v/>
      </c>
      <c r="N73" s="103" t="str">
        <f t="shared" si="43"/>
        <v/>
      </c>
      <c r="O73" s="103" t="str">
        <f t="shared" si="44"/>
        <v/>
      </c>
      <c r="P73" s="105" t="str">
        <f t="shared" si="45"/>
        <v/>
      </c>
      <c r="Q73" s="105" t="str">
        <f t="shared" si="46"/>
        <v/>
      </c>
      <c r="R73" s="104" t="str">
        <f t="shared" si="47"/>
        <v/>
      </c>
      <c r="S73" s="104" t="str">
        <f t="shared" si="48"/>
        <v/>
      </c>
      <c r="T73" s="105" t="str">
        <f t="shared" si="49"/>
        <v/>
      </c>
      <c r="U73" s="14" t="str">
        <f t="shared" si="50"/>
        <v/>
      </c>
      <c r="V73" s="14" t="str">
        <f t="shared" si="51"/>
        <v/>
      </c>
      <c r="W73" s="103" t="str">
        <f t="shared" si="52"/>
        <v/>
      </c>
      <c r="X73" s="103" t="str">
        <f t="shared" si="53"/>
        <v/>
      </c>
      <c r="Y73" s="100" t="str">
        <f t="shared" si="54"/>
        <v/>
      </c>
      <c r="Z73" s="100" t="str">
        <f t="shared" si="55"/>
        <v/>
      </c>
      <c r="AA73" s="100" t="e">
        <f t="shared" si="56"/>
        <v>#VALUE!</v>
      </c>
      <c r="AB73" s="100" t="e">
        <f t="shared" si="57"/>
        <v>#VALUE!</v>
      </c>
      <c r="AC73" s="100" t="e">
        <f t="shared" si="58"/>
        <v>#VALUE!</v>
      </c>
      <c r="AD73" s="100" t="e">
        <f t="shared" si="59"/>
        <v>#VALUE!</v>
      </c>
      <c r="AE73" s="8" t="str">
        <f t="shared" si="60"/>
        <v/>
      </c>
      <c r="AF73" s="8" t="str">
        <f t="shared" si="61"/>
        <v/>
      </c>
      <c r="AG73" s="7" t="str">
        <f t="shared" si="62"/>
        <v>Good</v>
      </c>
      <c r="AI73" s="100">
        <f t="shared" si="32"/>
        <v>28.932148367</v>
      </c>
      <c r="AJ73" s="100">
        <f t="shared" si="33"/>
        <v>47.938088800000003</v>
      </c>
    </row>
    <row r="74" spans="1:36" x14ac:dyDescent="0.2">
      <c r="A74" s="8">
        <v>3.0790000000000002</v>
      </c>
      <c r="B74" s="100">
        <v>28.932165482999999</v>
      </c>
      <c r="C74" s="100">
        <v>47.938018692999997</v>
      </c>
      <c r="D74" s="101">
        <v>3078.9270457227594</v>
      </c>
      <c r="E74" s="42" t="str">
        <f t="shared" si="34"/>
        <v/>
      </c>
      <c r="F74" s="7" t="str">
        <f t="shared" si="35"/>
        <v/>
      </c>
      <c r="G74" s="100" t="str">
        <f t="shared" si="36"/>
        <v/>
      </c>
      <c r="H74" s="100" t="str">
        <f t="shared" si="37"/>
        <v/>
      </c>
      <c r="I74" s="100" t="str">
        <f t="shared" si="38"/>
        <v/>
      </c>
      <c r="J74" s="100" t="str">
        <f t="shared" si="39"/>
        <v/>
      </c>
      <c r="K74" s="102" t="str">
        <f t="shared" si="40"/>
        <v/>
      </c>
      <c r="L74" s="103" t="str">
        <f t="shared" si="41"/>
        <v/>
      </c>
      <c r="M74" s="103" t="str">
        <f t="shared" si="42"/>
        <v/>
      </c>
      <c r="N74" s="103" t="str">
        <f t="shared" si="43"/>
        <v/>
      </c>
      <c r="O74" s="103" t="str">
        <f t="shared" si="44"/>
        <v/>
      </c>
      <c r="P74" s="105" t="str">
        <f t="shared" si="45"/>
        <v/>
      </c>
      <c r="Q74" s="105" t="str">
        <f t="shared" si="46"/>
        <v/>
      </c>
      <c r="R74" s="104" t="str">
        <f t="shared" si="47"/>
        <v/>
      </c>
      <c r="S74" s="104" t="str">
        <f t="shared" si="48"/>
        <v/>
      </c>
      <c r="T74" s="105" t="str">
        <f t="shared" si="49"/>
        <v/>
      </c>
      <c r="U74" s="14" t="str">
        <f t="shared" si="50"/>
        <v/>
      </c>
      <c r="V74" s="14" t="str">
        <f t="shared" si="51"/>
        <v/>
      </c>
      <c r="W74" s="103" t="str">
        <f t="shared" si="52"/>
        <v/>
      </c>
      <c r="X74" s="103" t="str">
        <f t="shared" si="53"/>
        <v/>
      </c>
      <c r="Y74" s="100" t="str">
        <f t="shared" si="54"/>
        <v/>
      </c>
      <c r="Z74" s="100" t="str">
        <f t="shared" si="55"/>
        <v/>
      </c>
      <c r="AA74" s="100" t="e">
        <f t="shared" si="56"/>
        <v>#VALUE!</v>
      </c>
      <c r="AB74" s="100" t="e">
        <f t="shared" si="57"/>
        <v>#VALUE!</v>
      </c>
      <c r="AC74" s="100" t="e">
        <f t="shared" si="58"/>
        <v>#VALUE!</v>
      </c>
      <c r="AD74" s="100" t="e">
        <f t="shared" si="59"/>
        <v>#VALUE!</v>
      </c>
      <c r="AE74" s="8" t="str">
        <f t="shared" si="60"/>
        <v/>
      </c>
      <c r="AF74" s="8" t="str">
        <f t="shared" si="61"/>
        <v/>
      </c>
      <c r="AG74" s="7" t="str">
        <f t="shared" si="62"/>
        <v>Good</v>
      </c>
      <c r="AI74" s="100">
        <f t="shared" si="32"/>
        <v>28.932165482999999</v>
      </c>
      <c r="AJ74" s="100">
        <f t="shared" si="33"/>
        <v>47.938018692999997</v>
      </c>
    </row>
    <row r="75" spans="1:36" x14ac:dyDescent="0.2">
      <c r="A75" s="8">
        <v>3.1549999999999998</v>
      </c>
      <c r="B75" s="100">
        <v>28.932364607</v>
      </c>
      <c r="C75" s="100">
        <v>47.937267206000001</v>
      </c>
      <c r="D75" s="101">
        <v>3155.2861413260739</v>
      </c>
      <c r="E75" s="42" t="str">
        <f t="shared" si="34"/>
        <v/>
      </c>
      <c r="F75" s="7" t="str">
        <f t="shared" si="35"/>
        <v/>
      </c>
      <c r="G75" s="100" t="str">
        <f t="shared" si="36"/>
        <v/>
      </c>
      <c r="H75" s="100" t="str">
        <f t="shared" si="37"/>
        <v/>
      </c>
      <c r="I75" s="100" t="str">
        <f t="shared" si="38"/>
        <v/>
      </c>
      <c r="J75" s="100" t="str">
        <f t="shared" si="39"/>
        <v/>
      </c>
      <c r="K75" s="102" t="str">
        <f t="shared" si="40"/>
        <v/>
      </c>
      <c r="L75" s="103" t="str">
        <f t="shared" si="41"/>
        <v/>
      </c>
      <c r="M75" s="103" t="str">
        <f t="shared" si="42"/>
        <v/>
      </c>
      <c r="N75" s="103" t="str">
        <f t="shared" si="43"/>
        <v/>
      </c>
      <c r="O75" s="103" t="str">
        <f t="shared" si="44"/>
        <v/>
      </c>
      <c r="P75" s="105" t="str">
        <f t="shared" si="45"/>
        <v/>
      </c>
      <c r="Q75" s="105" t="str">
        <f t="shared" si="46"/>
        <v/>
      </c>
      <c r="R75" s="104" t="str">
        <f t="shared" si="47"/>
        <v/>
      </c>
      <c r="S75" s="104" t="str">
        <f t="shared" si="48"/>
        <v/>
      </c>
      <c r="T75" s="105" t="str">
        <f t="shared" si="49"/>
        <v/>
      </c>
      <c r="U75" s="14" t="str">
        <f t="shared" si="50"/>
        <v/>
      </c>
      <c r="V75" s="14" t="str">
        <f t="shared" si="51"/>
        <v/>
      </c>
      <c r="W75" s="103" t="str">
        <f t="shared" si="52"/>
        <v/>
      </c>
      <c r="X75" s="103" t="str">
        <f t="shared" si="53"/>
        <v/>
      </c>
      <c r="Y75" s="100" t="str">
        <f t="shared" si="54"/>
        <v/>
      </c>
      <c r="Z75" s="100" t="str">
        <f t="shared" si="55"/>
        <v/>
      </c>
      <c r="AA75" s="100" t="e">
        <f t="shared" si="56"/>
        <v>#VALUE!</v>
      </c>
      <c r="AB75" s="100" t="e">
        <f t="shared" si="57"/>
        <v>#VALUE!</v>
      </c>
      <c r="AC75" s="100" t="e">
        <f t="shared" si="58"/>
        <v>#VALUE!</v>
      </c>
      <c r="AD75" s="100" t="e">
        <f t="shared" si="59"/>
        <v>#VALUE!</v>
      </c>
      <c r="AE75" s="8" t="str">
        <f t="shared" si="60"/>
        <v/>
      </c>
      <c r="AF75" s="8" t="str">
        <f t="shared" si="61"/>
        <v/>
      </c>
      <c r="AG75" s="7" t="str">
        <f t="shared" si="62"/>
        <v>Good</v>
      </c>
      <c r="AI75" s="100">
        <f t="shared" si="32"/>
        <v>28.932364607</v>
      </c>
      <c r="AJ75" s="100">
        <f t="shared" si="33"/>
        <v>47.937267206000001</v>
      </c>
    </row>
    <row r="76" spans="1:36" x14ac:dyDescent="0.2">
      <c r="A76" s="8">
        <v>3.1709999999999998</v>
      </c>
      <c r="B76" s="100">
        <v>28.932403058999999</v>
      </c>
      <c r="C76" s="100">
        <v>47.937116213000003</v>
      </c>
      <c r="D76" s="101">
        <v>3170.5792331387379</v>
      </c>
      <c r="E76" s="42" t="str">
        <f t="shared" si="34"/>
        <v/>
      </c>
      <c r="F76" s="7" t="str">
        <f t="shared" si="35"/>
        <v/>
      </c>
      <c r="G76" s="100" t="str">
        <f t="shared" si="36"/>
        <v/>
      </c>
      <c r="H76" s="100" t="str">
        <f t="shared" si="37"/>
        <v/>
      </c>
      <c r="I76" s="100" t="str">
        <f t="shared" si="38"/>
        <v/>
      </c>
      <c r="J76" s="100" t="str">
        <f t="shared" si="39"/>
        <v/>
      </c>
      <c r="K76" s="102" t="str">
        <f t="shared" si="40"/>
        <v/>
      </c>
      <c r="L76" s="103" t="str">
        <f t="shared" si="41"/>
        <v/>
      </c>
      <c r="M76" s="103" t="str">
        <f t="shared" si="42"/>
        <v/>
      </c>
      <c r="N76" s="103" t="str">
        <f t="shared" si="43"/>
        <v/>
      </c>
      <c r="O76" s="103" t="str">
        <f t="shared" si="44"/>
        <v/>
      </c>
      <c r="P76" s="105" t="str">
        <f t="shared" si="45"/>
        <v/>
      </c>
      <c r="Q76" s="105" t="str">
        <f t="shared" si="46"/>
        <v/>
      </c>
      <c r="R76" s="104" t="str">
        <f t="shared" si="47"/>
        <v/>
      </c>
      <c r="S76" s="104" t="str">
        <f t="shared" si="48"/>
        <v/>
      </c>
      <c r="T76" s="105" t="str">
        <f t="shared" si="49"/>
        <v/>
      </c>
      <c r="U76" s="14" t="str">
        <f t="shared" si="50"/>
        <v/>
      </c>
      <c r="V76" s="14" t="str">
        <f t="shared" si="51"/>
        <v/>
      </c>
      <c r="W76" s="103" t="str">
        <f t="shared" si="52"/>
        <v/>
      </c>
      <c r="X76" s="103" t="str">
        <f t="shared" si="53"/>
        <v/>
      </c>
      <c r="Y76" s="100" t="str">
        <f t="shared" si="54"/>
        <v/>
      </c>
      <c r="Z76" s="100" t="str">
        <f t="shared" si="55"/>
        <v/>
      </c>
      <c r="AA76" s="100" t="e">
        <f t="shared" si="56"/>
        <v>#VALUE!</v>
      </c>
      <c r="AB76" s="100" t="e">
        <f t="shared" si="57"/>
        <v>#VALUE!</v>
      </c>
      <c r="AC76" s="100" t="e">
        <f t="shared" si="58"/>
        <v>#VALUE!</v>
      </c>
      <c r="AD76" s="100" t="e">
        <f t="shared" si="59"/>
        <v>#VALUE!</v>
      </c>
      <c r="AE76" s="8" t="str">
        <f t="shared" si="60"/>
        <v/>
      </c>
      <c r="AF76" s="8" t="str">
        <f t="shared" si="61"/>
        <v/>
      </c>
      <c r="AG76" s="7" t="str">
        <f t="shared" si="62"/>
        <v>Good</v>
      </c>
      <c r="AI76" s="100">
        <f t="shared" si="32"/>
        <v>28.932403058999999</v>
      </c>
      <c r="AJ76" s="100">
        <f t="shared" si="33"/>
        <v>47.937116213000003</v>
      </c>
    </row>
    <row r="77" spans="1:36" x14ac:dyDescent="0.2">
      <c r="A77" s="8">
        <v>3.1920000000000002</v>
      </c>
      <c r="B77" s="100">
        <v>28.93245396</v>
      </c>
      <c r="C77" s="100">
        <v>47.936906362000002</v>
      </c>
      <c r="D77" s="101">
        <v>3191.7567492614298</v>
      </c>
      <c r="E77" s="42" t="str">
        <f t="shared" si="34"/>
        <v/>
      </c>
      <c r="F77" s="7" t="str">
        <f t="shared" si="35"/>
        <v/>
      </c>
      <c r="G77" s="100" t="str">
        <f t="shared" si="36"/>
        <v/>
      </c>
      <c r="H77" s="100" t="str">
        <f t="shared" si="37"/>
        <v/>
      </c>
      <c r="I77" s="100" t="str">
        <f t="shared" si="38"/>
        <v/>
      </c>
      <c r="J77" s="100" t="str">
        <f t="shared" si="39"/>
        <v/>
      </c>
      <c r="K77" s="102" t="str">
        <f t="shared" si="40"/>
        <v/>
      </c>
      <c r="L77" s="103" t="str">
        <f t="shared" si="41"/>
        <v/>
      </c>
      <c r="M77" s="103" t="str">
        <f t="shared" si="42"/>
        <v/>
      </c>
      <c r="N77" s="103" t="str">
        <f t="shared" si="43"/>
        <v/>
      </c>
      <c r="O77" s="103" t="str">
        <f t="shared" si="44"/>
        <v/>
      </c>
      <c r="P77" s="105" t="str">
        <f t="shared" si="45"/>
        <v/>
      </c>
      <c r="Q77" s="105" t="str">
        <f t="shared" si="46"/>
        <v/>
      </c>
      <c r="R77" s="104" t="str">
        <f t="shared" si="47"/>
        <v/>
      </c>
      <c r="S77" s="104" t="str">
        <f t="shared" si="48"/>
        <v/>
      </c>
      <c r="T77" s="105" t="str">
        <f t="shared" si="49"/>
        <v/>
      </c>
      <c r="U77" s="14" t="str">
        <f t="shared" si="50"/>
        <v/>
      </c>
      <c r="V77" s="14" t="str">
        <f t="shared" si="51"/>
        <v/>
      </c>
      <c r="W77" s="103" t="str">
        <f t="shared" si="52"/>
        <v/>
      </c>
      <c r="X77" s="103" t="str">
        <f t="shared" si="53"/>
        <v/>
      </c>
      <c r="Y77" s="100" t="str">
        <f t="shared" si="54"/>
        <v/>
      </c>
      <c r="Z77" s="100" t="str">
        <f t="shared" si="55"/>
        <v/>
      </c>
      <c r="AA77" s="100" t="e">
        <f t="shared" si="56"/>
        <v>#VALUE!</v>
      </c>
      <c r="AB77" s="100" t="e">
        <f t="shared" si="57"/>
        <v>#VALUE!</v>
      </c>
      <c r="AC77" s="100" t="e">
        <f t="shared" si="58"/>
        <v>#VALUE!</v>
      </c>
      <c r="AD77" s="100" t="e">
        <f t="shared" si="59"/>
        <v>#VALUE!</v>
      </c>
      <c r="AE77" s="8" t="str">
        <f t="shared" si="60"/>
        <v/>
      </c>
      <c r="AF77" s="8" t="str">
        <f t="shared" si="61"/>
        <v/>
      </c>
      <c r="AG77" s="7" t="str">
        <f t="shared" si="62"/>
        <v>Good</v>
      </c>
      <c r="AI77" s="100">
        <f t="shared" si="32"/>
        <v>28.93245396</v>
      </c>
      <c r="AJ77" s="100">
        <f t="shared" si="33"/>
        <v>47.936906362000002</v>
      </c>
    </row>
    <row r="78" spans="1:36" x14ac:dyDescent="0.2">
      <c r="A78" s="8">
        <v>3.2040000000000002</v>
      </c>
      <c r="B78" s="100">
        <v>28.932489124</v>
      </c>
      <c r="C78" s="100">
        <v>47.936786419000001</v>
      </c>
      <c r="D78" s="101">
        <v>3204.0582059471453</v>
      </c>
      <c r="E78" s="42" t="str">
        <f t="shared" si="34"/>
        <v/>
      </c>
      <c r="F78" s="7" t="str">
        <f t="shared" si="35"/>
        <v/>
      </c>
      <c r="G78" s="100" t="str">
        <f t="shared" si="36"/>
        <v/>
      </c>
      <c r="H78" s="100" t="str">
        <f t="shared" si="37"/>
        <v/>
      </c>
      <c r="I78" s="100" t="str">
        <f t="shared" si="38"/>
        <v/>
      </c>
      <c r="J78" s="100" t="str">
        <f t="shared" si="39"/>
        <v/>
      </c>
      <c r="K78" s="102" t="str">
        <f t="shared" si="40"/>
        <v/>
      </c>
      <c r="L78" s="103" t="str">
        <f t="shared" si="41"/>
        <v/>
      </c>
      <c r="M78" s="103" t="str">
        <f t="shared" si="42"/>
        <v/>
      </c>
      <c r="N78" s="103" t="str">
        <f t="shared" si="43"/>
        <v/>
      </c>
      <c r="O78" s="103" t="str">
        <f t="shared" si="44"/>
        <v/>
      </c>
      <c r="P78" s="105" t="str">
        <f t="shared" si="45"/>
        <v/>
      </c>
      <c r="Q78" s="105" t="str">
        <f t="shared" si="46"/>
        <v/>
      </c>
      <c r="R78" s="104" t="str">
        <f t="shared" si="47"/>
        <v/>
      </c>
      <c r="S78" s="104" t="str">
        <f t="shared" si="48"/>
        <v/>
      </c>
      <c r="T78" s="105" t="str">
        <f t="shared" si="49"/>
        <v/>
      </c>
      <c r="U78" s="14" t="str">
        <f t="shared" si="50"/>
        <v/>
      </c>
      <c r="V78" s="14" t="str">
        <f t="shared" si="51"/>
        <v/>
      </c>
      <c r="W78" s="103" t="str">
        <f t="shared" si="52"/>
        <v/>
      </c>
      <c r="X78" s="103" t="str">
        <f t="shared" si="53"/>
        <v/>
      </c>
      <c r="Y78" s="100" t="str">
        <f t="shared" si="54"/>
        <v/>
      </c>
      <c r="Z78" s="100" t="str">
        <f t="shared" si="55"/>
        <v/>
      </c>
      <c r="AA78" s="100" t="e">
        <f t="shared" si="56"/>
        <v>#VALUE!</v>
      </c>
      <c r="AB78" s="100" t="e">
        <f t="shared" si="57"/>
        <v>#VALUE!</v>
      </c>
      <c r="AC78" s="100" t="e">
        <f t="shared" si="58"/>
        <v>#VALUE!</v>
      </c>
      <c r="AD78" s="100" t="e">
        <f t="shared" si="59"/>
        <v>#VALUE!</v>
      </c>
      <c r="AE78" s="8" t="str">
        <f t="shared" si="60"/>
        <v/>
      </c>
      <c r="AF78" s="8" t="str">
        <f t="shared" si="61"/>
        <v/>
      </c>
      <c r="AG78" s="7" t="str">
        <f t="shared" si="62"/>
        <v>Good</v>
      </c>
      <c r="AI78" s="100">
        <f t="shared" si="32"/>
        <v>28.932489124</v>
      </c>
      <c r="AJ78" s="100">
        <f t="shared" si="33"/>
        <v>47.936786419000001</v>
      </c>
    </row>
    <row r="79" spans="1:36" x14ac:dyDescent="0.2">
      <c r="A79" s="8">
        <v>3.2080000000000002</v>
      </c>
      <c r="B79" s="100">
        <v>28.932499849999999</v>
      </c>
      <c r="C79" s="100">
        <v>47.936745584000001</v>
      </c>
      <c r="D79" s="101">
        <v>3208.2044094944836</v>
      </c>
      <c r="E79" s="42" t="str">
        <f t="shared" si="34"/>
        <v/>
      </c>
      <c r="F79" s="7" t="str">
        <f t="shared" si="35"/>
        <v/>
      </c>
      <c r="G79" s="100" t="str">
        <f t="shared" si="36"/>
        <v/>
      </c>
      <c r="H79" s="100" t="str">
        <f t="shared" si="37"/>
        <v/>
      </c>
      <c r="I79" s="100" t="str">
        <f t="shared" si="38"/>
        <v/>
      </c>
      <c r="J79" s="100" t="str">
        <f t="shared" si="39"/>
        <v/>
      </c>
      <c r="K79" s="102" t="str">
        <f t="shared" si="40"/>
        <v/>
      </c>
      <c r="L79" s="103" t="str">
        <f t="shared" si="41"/>
        <v/>
      </c>
      <c r="M79" s="103" t="str">
        <f t="shared" si="42"/>
        <v/>
      </c>
      <c r="N79" s="103" t="str">
        <f t="shared" si="43"/>
        <v/>
      </c>
      <c r="O79" s="103" t="str">
        <f t="shared" si="44"/>
        <v/>
      </c>
      <c r="P79" s="105" t="str">
        <f t="shared" si="45"/>
        <v/>
      </c>
      <c r="Q79" s="105" t="str">
        <f t="shared" si="46"/>
        <v/>
      </c>
      <c r="R79" s="104" t="str">
        <f t="shared" si="47"/>
        <v/>
      </c>
      <c r="S79" s="104" t="str">
        <f t="shared" si="48"/>
        <v/>
      </c>
      <c r="T79" s="105" t="str">
        <f t="shared" si="49"/>
        <v/>
      </c>
      <c r="U79" s="14" t="str">
        <f t="shared" si="50"/>
        <v/>
      </c>
      <c r="V79" s="14" t="str">
        <f t="shared" si="51"/>
        <v/>
      </c>
      <c r="W79" s="103" t="str">
        <f t="shared" si="52"/>
        <v/>
      </c>
      <c r="X79" s="103" t="str">
        <f t="shared" si="53"/>
        <v/>
      </c>
      <c r="Y79" s="100" t="str">
        <f t="shared" si="54"/>
        <v/>
      </c>
      <c r="Z79" s="100" t="str">
        <f t="shared" si="55"/>
        <v/>
      </c>
      <c r="AA79" s="100" t="e">
        <f t="shared" si="56"/>
        <v>#VALUE!</v>
      </c>
      <c r="AB79" s="100" t="e">
        <f t="shared" si="57"/>
        <v>#VALUE!</v>
      </c>
      <c r="AC79" s="100" t="e">
        <f t="shared" si="58"/>
        <v>#VALUE!</v>
      </c>
      <c r="AD79" s="100" t="e">
        <f t="shared" si="59"/>
        <v>#VALUE!</v>
      </c>
      <c r="AE79" s="8" t="str">
        <f t="shared" si="60"/>
        <v/>
      </c>
      <c r="AF79" s="8" t="str">
        <f t="shared" si="61"/>
        <v/>
      </c>
      <c r="AG79" s="7" t="str">
        <f t="shared" si="62"/>
        <v>Good</v>
      </c>
      <c r="AI79" s="100">
        <f t="shared" si="32"/>
        <v>28.932499849999999</v>
      </c>
      <c r="AJ79" s="100">
        <f t="shared" si="33"/>
        <v>47.936745584000001</v>
      </c>
    </row>
    <row r="80" spans="1:36" x14ac:dyDescent="0.2">
      <c r="A80" s="8">
        <v>3.3079999999999998</v>
      </c>
      <c r="B80" s="100">
        <v>28.932759009000002</v>
      </c>
      <c r="C80" s="100">
        <v>47.935764153000001</v>
      </c>
      <c r="D80" s="101">
        <v>3307.8991755832158</v>
      </c>
      <c r="E80" s="42" t="str">
        <f t="shared" si="34"/>
        <v/>
      </c>
      <c r="F80" s="7" t="str">
        <f t="shared" si="35"/>
        <v/>
      </c>
      <c r="G80" s="100" t="str">
        <f t="shared" si="36"/>
        <v/>
      </c>
      <c r="H80" s="100" t="str">
        <f t="shared" si="37"/>
        <v/>
      </c>
      <c r="I80" s="100" t="str">
        <f t="shared" si="38"/>
        <v/>
      </c>
      <c r="J80" s="100" t="str">
        <f t="shared" si="39"/>
        <v/>
      </c>
      <c r="K80" s="102" t="str">
        <f t="shared" si="40"/>
        <v/>
      </c>
      <c r="L80" s="103" t="str">
        <f t="shared" si="41"/>
        <v/>
      </c>
      <c r="M80" s="103" t="str">
        <f t="shared" si="42"/>
        <v/>
      </c>
      <c r="N80" s="103" t="str">
        <f t="shared" si="43"/>
        <v/>
      </c>
      <c r="O80" s="103" t="str">
        <f t="shared" si="44"/>
        <v/>
      </c>
      <c r="P80" s="105" t="str">
        <f t="shared" si="45"/>
        <v/>
      </c>
      <c r="Q80" s="105" t="str">
        <f t="shared" si="46"/>
        <v/>
      </c>
      <c r="R80" s="104" t="str">
        <f t="shared" si="47"/>
        <v/>
      </c>
      <c r="S80" s="104" t="str">
        <f t="shared" si="48"/>
        <v/>
      </c>
      <c r="T80" s="105" t="str">
        <f t="shared" si="49"/>
        <v/>
      </c>
      <c r="U80" s="14" t="str">
        <f t="shared" si="50"/>
        <v/>
      </c>
      <c r="V80" s="14" t="str">
        <f t="shared" si="51"/>
        <v/>
      </c>
      <c r="W80" s="103" t="str">
        <f t="shared" si="52"/>
        <v/>
      </c>
      <c r="X80" s="103" t="str">
        <f t="shared" si="53"/>
        <v/>
      </c>
      <c r="Y80" s="100" t="str">
        <f t="shared" si="54"/>
        <v/>
      </c>
      <c r="Z80" s="100" t="str">
        <f t="shared" si="55"/>
        <v/>
      </c>
      <c r="AA80" s="100" t="e">
        <f t="shared" si="56"/>
        <v>#VALUE!</v>
      </c>
      <c r="AB80" s="100" t="e">
        <f t="shared" si="57"/>
        <v>#VALUE!</v>
      </c>
      <c r="AC80" s="100" t="e">
        <f t="shared" si="58"/>
        <v>#VALUE!</v>
      </c>
      <c r="AD80" s="100" t="e">
        <f t="shared" si="59"/>
        <v>#VALUE!</v>
      </c>
      <c r="AE80" s="8" t="str">
        <f t="shared" si="60"/>
        <v/>
      </c>
      <c r="AF80" s="8" t="str">
        <f t="shared" si="61"/>
        <v/>
      </c>
      <c r="AG80" s="7" t="str">
        <f t="shared" si="62"/>
        <v>Good</v>
      </c>
      <c r="AI80" s="100">
        <f t="shared" si="32"/>
        <v>28.932759009000002</v>
      </c>
      <c r="AJ80" s="100">
        <f t="shared" si="33"/>
        <v>47.935764153000001</v>
      </c>
    </row>
    <row r="81" spans="1:36" x14ac:dyDescent="0.2">
      <c r="A81" s="8">
        <v>3.3149999999999999</v>
      </c>
      <c r="B81" s="100">
        <v>28.932776270000002</v>
      </c>
      <c r="C81" s="100">
        <v>47.935688896000002</v>
      </c>
      <c r="D81" s="101">
        <v>3315.4651086179724</v>
      </c>
      <c r="E81" s="42" t="str">
        <f t="shared" si="34"/>
        <v/>
      </c>
      <c r="F81" s="7" t="str">
        <f t="shared" si="35"/>
        <v/>
      </c>
      <c r="G81" s="100" t="str">
        <f t="shared" si="36"/>
        <v/>
      </c>
      <c r="H81" s="100" t="str">
        <f t="shared" si="37"/>
        <v/>
      </c>
      <c r="I81" s="100" t="str">
        <f t="shared" si="38"/>
        <v/>
      </c>
      <c r="J81" s="100" t="str">
        <f t="shared" si="39"/>
        <v/>
      </c>
      <c r="K81" s="102" t="str">
        <f t="shared" si="40"/>
        <v/>
      </c>
      <c r="L81" s="103" t="str">
        <f t="shared" si="41"/>
        <v/>
      </c>
      <c r="M81" s="103" t="str">
        <f t="shared" si="42"/>
        <v/>
      </c>
      <c r="N81" s="103" t="str">
        <f t="shared" si="43"/>
        <v/>
      </c>
      <c r="O81" s="103" t="str">
        <f t="shared" si="44"/>
        <v/>
      </c>
      <c r="P81" s="105" t="str">
        <f t="shared" si="45"/>
        <v/>
      </c>
      <c r="Q81" s="105" t="str">
        <f t="shared" si="46"/>
        <v/>
      </c>
      <c r="R81" s="104" t="str">
        <f t="shared" si="47"/>
        <v/>
      </c>
      <c r="S81" s="104" t="str">
        <f t="shared" si="48"/>
        <v/>
      </c>
      <c r="T81" s="105" t="str">
        <f t="shared" si="49"/>
        <v/>
      </c>
      <c r="U81" s="14" t="str">
        <f t="shared" si="50"/>
        <v/>
      </c>
      <c r="V81" s="14" t="str">
        <f t="shared" si="51"/>
        <v/>
      </c>
      <c r="W81" s="103" t="str">
        <f t="shared" si="52"/>
        <v/>
      </c>
      <c r="X81" s="103" t="str">
        <f t="shared" si="53"/>
        <v/>
      </c>
      <c r="Y81" s="100" t="str">
        <f t="shared" si="54"/>
        <v/>
      </c>
      <c r="Z81" s="100" t="str">
        <f t="shared" si="55"/>
        <v/>
      </c>
      <c r="AA81" s="100" t="e">
        <f t="shared" si="56"/>
        <v>#VALUE!</v>
      </c>
      <c r="AB81" s="100" t="e">
        <f t="shared" si="57"/>
        <v>#VALUE!</v>
      </c>
      <c r="AC81" s="100" t="e">
        <f t="shared" si="58"/>
        <v>#VALUE!</v>
      </c>
      <c r="AD81" s="100" t="e">
        <f t="shared" si="59"/>
        <v>#VALUE!</v>
      </c>
      <c r="AE81" s="8" t="str">
        <f t="shared" si="60"/>
        <v/>
      </c>
      <c r="AF81" s="8" t="str">
        <f t="shared" si="61"/>
        <v/>
      </c>
      <c r="AG81" s="7" t="str">
        <f t="shared" si="62"/>
        <v>Good</v>
      </c>
      <c r="AI81" s="100">
        <f t="shared" si="32"/>
        <v>28.932776270000002</v>
      </c>
      <c r="AJ81" s="100">
        <f t="shared" si="33"/>
        <v>47.935688896000002</v>
      </c>
    </row>
    <row r="82" spans="1:36" x14ac:dyDescent="0.2">
      <c r="A82" s="8">
        <v>3.323</v>
      </c>
      <c r="B82" s="100">
        <v>28.932789872000001</v>
      </c>
      <c r="C82" s="100">
        <v>47.935614362999999</v>
      </c>
      <c r="D82" s="101">
        <v>3322.8693102158618</v>
      </c>
      <c r="E82" s="42" t="str">
        <f t="shared" si="34"/>
        <v/>
      </c>
      <c r="F82" s="7" t="str">
        <f t="shared" si="35"/>
        <v/>
      </c>
      <c r="G82" s="100" t="str">
        <f t="shared" si="36"/>
        <v/>
      </c>
      <c r="H82" s="100" t="str">
        <f t="shared" si="37"/>
        <v/>
      </c>
      <c r="I82" s="100" t="str">
        <f t="shared" si="38"/>
        <v/>
      </c>
      <c r="J82" s="100" t="str">
        <f t="shared" si="39"/>
        <v/>
      </c>
      <c r="K82" s="102" t="str">
        <f t="shared" si="40"/>
        <v/>
      </c>
      <c r="L82" s="103" t="str">
        <f t="shared" si="41"/>
        <v/>
      </c>
      <c r="M82" s="103" t="str">
        <f t="shared" si="42"/>
        <v/>
      </c>
      <c r="N82" s="103" t="str">
        <f t="shared" si="43"/>
        <v/>
      </c>
      <c r="O82" s="103" t="str">
        <f t="shared" si="44"/>
        <v/>
      </c>
      <c r="P82" s="105" t="str">
        <f t="shared" si="45"/>
        <v/>
      </c>
      <c r="Q82" s="105" t="str">
        <f t="shared" si="46"/>
        <v/>
      </c>
      <c r="R82" s="104" t="str">
        <f t="shared" si="47"/>
        <v/>
      </c>
      <c r="S82" s="104" t="str">
        <f t="shared" si="48"/>
        <v/>
      </c>
      <c r="T82" s="105" t="str">
        <f t="shared" si="49"/>
        <v/>
      </c>
      <c r="U82" s="14" t="str">
        <f t="shared" si="50"/>
        <v/>
      </c>
      <c r="V82" s="14" t="str">
        <f t="shared" si="51"/>
        <v/>
      </c>
      <c r="W82" s="103" t="str">
        <f t="shared" si="52"/>
        <v/>
      </c>
      <c r="X82" s="103" t="str">
        <f t="shared" si="53"/>
        <v/>
      </c>
      <c r="Y82" s="100" t="str">
        <f t="shared" si="54"/>
        <v/>
      </c>
      <c r="Z82" s="100" t="str">
        <f t="shared" si="55"/>
        <v/>
      </c>
      <c r="AA82" s="100" t="e">
        <f t="shared" si="56"/>
        <v>#VALUE!</v>
      </c>
      <c r="AB82" s="100" t="e">
        <f t="shared" si="57"/>
        <v>#VALUE!</v>
      </c>
      <c r="AC82" s="100" t="e">
        <f t="shared" si="58"/>
        <v>#VALUE!</v>
      </c>
      <c r="AD82" s="100" t="e">
        <f t="shared" si="59"/>
        <v>#VALUE!</v>
      </c>
      <c r="AE82" s="8" t="str">
        <f t="shared" si="60"/>
        <v/>
      </c>
      <c r="AF82" s="8" t="str">
        <f t="shared" si="61"/>
        <v/>
      </c>
      <c r="AG82" s="7" t="str">
        <f t="shared" si="62"/>
        <v>Good</v>
      </c>
      <c r="AI82" s="100">
        <f t="shared" si="32"/>
        <v>28.932789872000001</v>
      </c>
      <c r="AJ82" s="100">
        <f t="shared" si="33"/>
        <v>47.935614362999999</v>
      </c>
    </row>
    <row r="83" spans="1:36" x14ac:dyDescent="0.2">
      <c r="A83" s="8">
        <v>3.4039999999999999</v>
      </c>
      <c r="B83" s="100">
        <v>28.933005545</v>
      </c>
      <c r="C83" s="100">
        <v>47.934815688</v>
      </c>
      <c r="D83" s="101">
        <v>3404.1540801596093</v>
      </c>
      <c r="E83" s="42" t="str">
        <f t="shared" si="34"/>
        <v/>
      </c>
      <c r="F83" s="7" t="str">
        <f t="shared" si="35"/>
        <v/>
      </c>
      <c r="G83" s="100" t="str">
        <f t="shared" si="36"/>
        <v/>
      </c>
      <c r="H83" s="100" t="str">
        <f t="shared" si="37"/>
        <v/>
      </c>
      <c r="I83" s="100" t="str">
        <f t="shared" si="38"/>
        <v/>
      </c>
      <c r="J83" s="100" t="str">
        <f t="shared" si="39"/>
        <v/>
      </c>
      <c r="K83" s="102" t="str">
        <f t="shared" si="40"/>
        <v/>
      </c>
      <c r="L83" s="103" t="str">
        <f t="shared" si="41"/>
        <v/>
      </c>
      <c r="M83" s="103" t="str">
        <f t="shared" si="42"/>
        <v/>
      </c>
      <c r="N83" s="103" t="str">
        <f t="shared" si="43"/>
        <v/>
      </c>
      <c r="O83" s="103" t="str">
        <f t="shared" si="44"/>
        <v/>
      </c>
      <c r="P83" s="105" t="str">
        <f t="shared" si="45"/>
        <v/>
      </c>
      <c r="Q83" s="105" t="str">
        <f t="shared" si="46"/>
        <v/>
      </c>
      <c r="R83" s="104" t="str">
        <f t="shared" si="47"/>
        <v/>
      </c>
      <c r="S83" s="104" t="str">
        <f t="shared" si="48"/>
        <v/>
      </c>
      <c r="T83" s="105" t="str">
        <f t="shared" si="49"/>
        <v/>
      </c>
      <c r="U83" s="14" t="str">
        <f t="shared" si="50"/>
        <v/>
      </c>
      <c r="V83" s="14" t="str">
        <f t="shared" si="51"/>
        <v/>
      </c>
      <c r="W83" s="103" t="str">
        <f t="shared" si="52"/>
        <v/>
      </c>
      <c r="X83" s="103" t="str">
        <f t="shared" si="53"/>
        <v/>
      </c>
      <c r="Y83" s="100" t="str">
        <f t="shared" si="54"/>
        <v/>
      </c>
      <c r="Z83" s="100" t="str">
        <f t="shared" si="55"/>
        <v/>
      </c>
      <c r="AA83" s="100" t="e">
        <f t="shared" si="56"/>
        <v>#VALUE!</v>
      </c>
      <c r="AB83" s="100" t="e">
        <f t="shared" si="57"/>
        <v>#VALUE!</v>
      </c>
      <c r="AC83" s="100" t="e">
        <f t="shared" si="58"/>
        <v>#VALUE!</v>
      </c>
      <c r="AD83" s="100" t="e">
        <f t="shared" si="59"/>
        <v>#VALUE!</v>
      </c>
      <c r="AE83" s="8" t="str">
        <f t="shared" si="60"/>
        <v/>
      </c>
      <c r="AF83" s="8" t="str">
        <f t="shared" si="61"/>
        <v/>
      </c>
      <c r="AG83" s="7" t="str">
        <f t="shared" si="62"/>
        <v>Good</v>
      </c>
      <c r="AI83" s="100">
        <f t="shared" si="32"/>
        <v>28.933005545</v>
      </c>
      <c r="AJ83" s="100">
        <f t="shared" si="33"/>
        <v>47.934815688</v>
      </c>
    </row>
    <row r="84" spans="1:36" x14ac:dyDescent="0.2">
      <c r="A84" s="8">
        <v>3.4969999999999999</v>
      </c>
      <c r="B84" s="100">
        <v>28.933240519000002</v>
      </c>
      <c r="C84" s="100">
        <v>47.933895276999998</v>
      </c>
      <c r="D84" s="101">
        <v>3497.3948044796862</v>
      </c>
      <c r="E84" s="42" t="str">
        <f t="shared" si="34"/>
        <v/>
      </c>
      <c r="F84" s="7" t="str">
        <f t="shared" si="35"/>
        <v/>
      </c>
      <c r="G84" s="100" t="str">
        <f t="shared" si="36"/>
        <v/>
      </c>
      <c r="H84" s="100" t="str">
        <f t="shared" si="37"/>
        <v/>
      </c>
      <c r="I84" s="100" t="str">
        <f t="shared" si="38"/>
        <v/>
      </c>
      <c r="J84" s="100" t="str">
        <f t="shared" si="39"/>
        <v/>
      </c>
      <c r="K84" s="102" t="str">
        <f t="shared" si="40"/>
        <v/>
      </c>
      <c r="L84" s="103" t="str">
        <f t="shared" si="41"/>
        <v/>
      </c>
      <c r="M84" s="103" t="str">
        <f t="shared" si="42"/>
        <v/>
      </c>
      <c r="N84" s="103" t="str">
        <f t="shared" si="43"/>
        <v/>
      </c>
      <c r="O84" s="103" t="str">
        <f t="shared" si="44"/>
        <v/>
      </c>
      <c r="P84" s="105" t="str">
        <f t="shared" si="45"/>
        <v/>
      </c>
      <c r="Q84" s="105" t="str">
        <f t="shared" si="46"/>
        <v/>
      </c>
      <c r="R84" s="104" t="str">
        <f t="shared" si="47"/>
        <v/>
      </c>
      <c r="S84" s="104" t="str">
        <f t="shared" si="48"/>
        <v/>
      </c>
      <c r="T84" s="105" t="str">
        <f t="shared" si="49"/>
        <v/>
      </c>
      <c r="U84" s="14" t="str">
        <f t="shared" si="50"/>
        <v/>
      </c>
      <c r="V84" s="14" t="str">
        <f t="shared" si="51"/>
        <v/>
      </c>
      <c r="W84" s="103" t="str">
        <f t="shared" si="52"/>
        <v/>
      </c>
      <c r="X84" s="103" t="str">
        <f t="shared" si="53"/>
        <v/>
      </c>
      <c r="Y84" s="100" t="str">
        <f t="shared" si="54"/>
        <v/>
      </c>
      <c r="Z84" s="100" t="str">
        <f t="shared" si="55"/>
        <v/>
      </c>
      <c r="AA84" s="100" t="e">
        <f t="shared" si="56"/>
        <v>#VALUE!</v>
      </c>
      <c r="AB84" s="100" t="e">
        <f t="shared" si="57"/>
        <v>#VALUE!</v>
      </c>
      <c r="AC84" s="100" t="e">
        <f t="shared" si="58"/>
        <v>#VALUE!</v>
      </c>
      <c r="AD84" s="100" t="e">
        <f t="shared" si="59"/>
        <v>#VALUE!</v>
      </c>
      <c r="AE84" s="8" t="str">
        <f t="shared" si="60"/>
        <v/>
      </c>
      <c r="AF84" s="8" t="str">
        <f t="shared" si="61"/>
        <v/>
      </c>
      <c r="AG84" s="7" t="str">
        <f t="shared" si="62"/>
        <v>Good</v>
      </c>
      <c r="AI84" s="100">
        <f t="shared" si="32"/>
        <v>28.933240519000002</v>
      </c>
      <c r="AJ84" s="100">
        <f t="shared" si="33"/>
        <v>47.933895276999998</v>
      </c>
    </row>
    <row r="85" spans="1:36" x14ac:dyDescent="0.2">
      <c r="A85" s="8">
        <v>3.504</v>
      </c>
      <c r="B85" s="100">
        <v>28.933254638000001</v>
      </c>
      <c r="C85" s="100">
        <v>47.933834513999997</v>
      </c>
      <c r="D85" s="101">
        <v>3503.5093922216788</v>
      </c>
      <c r="E85" s="42" t="str">
        <f t="shared" si="34"/>
        <v/>
      </c>
      <c r="F85" s="7" t="str">
        <f t="shared" si="35"/>
        <v/>
      </c>
      <c r="G85" s="100" t="str">
        <f t="shared" si="36"/>
        <v/>
      </c>
      <c r="H85" s="100" t="str">
        <f t="shared" si="37"/>
        <v/>
      </c>
      <c r="I85" s="100" t="str">
        <f t="shared" si="38"/>
        <v/>
      </c>
      <c r="J85" s="100" t="str">
        <f t="shared" si="39"/>
        <v/>
      </c>
      <c r="K85" s="102" t="str">
        <f t="shared" si="40"/>
        <v/>
      </c>
      <c r="L85" s="103" t="str">
        <f t="shared" si="41"/>
        <v/>
      </c>
      <c r="M85" s="103" t="str">
        <f t="shared" si="42"/>
        <v/>
      </c>
      <c r="N85" s="103" t="str">
        <f t="shared" si="43"/>
        <v/>
      </c>
      <c r="O85" s="103" t="str">
        <f t="shared" si="44"/>
        <v/>
      </c>
      <c r="P85" s="105" t="str">
        <f t="shared" si="45"/>
        <v/>
      </c>
      <c r="Q85" s="105" t="str">
        <f t="shared" si="46"/>
        <v/>
      </c>
      <c r="R85" s="104" t="str">
        <f t="shared" si="47"/>
        <v/>
      </c>
      <c r="S85" s="104" t="str">
        <f t="shared" si="48"/>
        <v/>
      </c>
      <c r="T85" s="105" t="str">
        <f t="shared" si="49"/>
        <v/>
      </c>
      <c r="U85" s="14" t="str">
        <f t="shared" si="50"/>
        <v/>
      </c>
      <c r="V85" s="14" t="str">
        <f t="shared" si="51"/>
        <v/>
      </c>
      <c r="W85" s="103" t="str">
        <f t="shared" si="52"/>
        <v/>
      </c>
      <c r="X85" s="103" t="str">
        <f t="shared" si="53"/>
        <v/>
      </c>
      <c r="Y85" s="100" t="str">
        <f t="shared" si="54"/>
        <v/>
      </c>
      <c r="Z85" s="100" t="str">
        <f t="shared" si="55"/>
        <v/>
      </c>
      <c r="AA85" s="100" t="e">
        <f t="shared" si="56"/>
        <v>#VALUE!</v>
      </c>
      <c r="AB85" s="100" t="e">
        <f t="shared" si="57"/>
        <v>#VALUE!</v>
      </c>
      <c r="AC85" s="100" t="e">
        <f t="shared" si="58"/>
        <v>#VALUE!</v>
      </c>
      <c r="AD85" s="100" t="e">
        <f t="shared" si="59"/>
        <v>#VALUE!</v>
      </c>
      <c r="AE85" s="8" t="str">
        <f t="shared" si="60"/>
        <v/>
      </c>
      <c r="AF85" s="8" t="str">
        <f t="shared" si="61"/>
        <v/>
      </c>
      <c r="AG85" s="7" t="str">
        <f t="shared" si="62"/>
        <v>Good</v>
      </c>
      <c r="AI85" s="100">
        <f t="shared" si="32"/>
        <v>28.933254638000001</v>
      </c>
      <c r="AJ85" s="100">
        <f t="shared" si="33"/>
        <v>47.933834513999997</v>
      </c>
    </row>
    <row r="86" spans="1:36" x14ac:dyDescent="0.2">
      <c r="A86" s="8">
        <v>3.5049999999999999</v>
      </c>
      <c r="B86" s="100">
        <v>28.933257000000001</v>
      </c>
      <c r="C86" s="100">
        <v>47.93383</v>
      </c>
      <c r="D86" s="101">
        <v>3505</v>
      </c>
      <c r="E86" s="42" t="str">
        <f t="shared" si="34"/>
        <v/>
      </c>
      <c r="F86" s="7" t="str">
        <f t="shared" si="35"/>
        <v/>
      </c>
      <c r="G86" s="100" t="str">
        <f t="shared" si="36"/>
        <v/>
      </c>
      <c r="H86" s="100" t="str">
        <f t="shared" si="37"/>
        <v/>
      </c>
      <c r="I86" s="100" t="str">
        <f t="shared" si="38"/>
        <v/>
      </c>
      <c r="J86" s="100" t="str">
        <f t="shared" si="39"/>
        <v/>
      </c>
      <c r="K86" s="102" t="str">
        <f t="shared" si="40"/>
        <v/>
      </c>
      <c r="L86" s="103" t="str">
        <f t="shared" si="41"/>
        <v/>
      </c>
      <c r="M86" s="103" t="str">
        <f t="shared" si="42"/>
        <v/>
      </c>
      <c r="N86" s="103" t="str">
        <f t="shared" si="43"/>
        <v/>
      </c>
      <c r="O86" s="103" t="str">
        <f t="shared" si="44"/>
        <v/>
      </c>
      <c r="P86" s="105" t="str">
        <f t="shared" si="45"/>
        <v/>
      </c>
      <c r="Q86" s="105" t="str">
        <f t="shared" si="46"/>
        <v/>
      </c>
      <c r="R86" s="104" t="str">
        <f t="shared" si="47"/>
        <v/>
      </c>
      <c r="S86" s="104" t="str">
        <f t="shared" si="48"/>
        <v/>
      </c>
      <c r="T86" s="105" t="str">
        <f t="shared" si="49"/>
        <v/>
      </c>
      <c r="U86" s="14" t="str">
        <f t="shared" si="50"/>
        <v/>
      </c>
      <c r="V86" s="14" t="str">
        <f t="shared" si="51"/>
        <v/>
      </c>
      <c r="W86" s="103" t="str">
        <f t="shared" si="52"/>
        <v/>
      </c>
      <c r="X86" s="103" t="str">
        <f t="shared" si="53"/>
        <v/>
      </c>
      <c r="Y86" s="100" t="str">
        <f t="shared" si="54"/>
        <v/>
      </c>
      <c r="Z86" s="100" t="str">
        <f t="shared" si="55"/>
        <v/>
      </c>
      <c r="AA86" s="100" t="e">
        <f t="shared" si="56"/>
        <v>#VALUE!</v>
      </c>
      <c r="AB86" s="100" t="e">
        <f t="shared" si="57"/>
        <v>#VALUE!</v>
      </c>
      <c r="AC86" s="100" t="e">
        <f t="shared" si="58"/>
        <v>#VALUE!</v>
      </c>
      <c r="AD86" s="100" t="e">
        <f t="shared" si="59"/>
        <v>#VALUE!</v>
      </c>
      <c r="AE86" s="8" t="str">
        <f t="shared" si="60"/>
        <v/>
      </c>
      <c r="AF86" s="8" t="str">
        <f t="shared" si="61"/>
        <v/>
      </c>
      <c r="AG86" s="7" t="str">
        <f t="shared" si="62"/>
        <v>Good</v>
      </c>
      <c r="AI86" s="100">
        <f t="shared" si="32"/>
        <v>28.933257000000001</v>
      </c>
      <c r="AJ86" s="100">
        <f t="shared" si="33"/>
        <v>47.93383</v>
      </c>
    </row>
    <row r="87" spans="1:36" x14ac:dyDescent="0.2">
      <c r="A87" s="8">
        <v>3.5059999999999998</v>
      </c>
      <c r="B87" s="100">
        <v>28.933263957000001</v>
      </c>
      <c r="C87" s="100">
        <v>47.933812947</v>
      </c>
      <c r="D87" s="101">
        <v>3505.8486911666778</v>
      </c>
      <c r="E87" s="42" t="str">
        <f t="shared" si="34"/>
        <v/>
      </c>
      <c r="F87" s="7" t="str">
        <f t="shared" si="35"/>
        <v/>
      </c>
      <c r="G87" s="100" t="str">
        <f t="shared" si="36"/>
        <v/>
      </c>
      <c r="H87" s="100" t="str">
        <f t="shared" si="37"/>
        <v/>
      </c>
      <c r="I87" s="100" t="str">
        <f t="shared" si="38"/>
        <v/>
      </c>
      <c r="J87" s="100" t="str">
        <f t="shared" si="39"/>
        <v/>
      </c>
      <c r="K87" s="102" t="str">
        <f t="shared" si="40"/>
        <v/>
      </c>
      <c r="L87" s="103" t="str">
        <f t="shared" si="41"/>
        <v/>
      </c>
      <c r="M87" s="103" t="str">
        <f t="shared" si="42"/>
        <v/>
      </c>
      <c r="N87" s="103" t="str">
        <f t="shared" si="43"/>
        <v/>
      </c>
      <c r="O87" s="103" t="str">
        <f t="shared" si="44"/>
        <v/>
      </c>
      <c r="P87" s="105" t="str">
        <f t="shared" si="45"/>
        <v/>
      </c>
      <c r="Q87" s="105" t="str">
        <f t="shared" si="46"/>
        <v/>
      </c>
      <c r="R87" s="104" t="str">
        <f t="shared" si="47"/>
        <v/>
      </c>
      <c r="S87" s="104" t="str">
        <f t="shared" si="48"/>
        <v/>
      </c>
      <c r="T87" s="105" t="str">
        <f t="shared" si="49"/>
        <v/>
      </c>
      <c r="U87" s="14" t="str">
        <f t="shared" si="50"/>
        <v/>
      </c>
      <c r="V87" s="14" t="str">
        <f t="shared" si="51"/>
        <v/>
      </c>
      <c r="W87" s="103" t="str">
        <f t="shared" si="52"/>
        <v/>
      </c>
      <c r="X87" s="103" t="str">
        <f t="shared" si="53"/>
        <v/>
      </c>
      <c r="Y87" s="100" t="str">
        <f t="shared" si="54"/>
        <v/>
      </c>
      <c r="Z87" s="100" t="str">
        <f t="shared" si="55"/>
        <v/>
      </c>
      <c r="AA87" s="100" t="e">
        <f t="shared" si="56"/>
        <v>#VALUE!</v>
      </c>
      <c r="AB87" s="100" t="e">
        <f t="shared" si="57"/>
        <v>#VALUE!</v>
      </c>
      <c r="AC87" s="100" t="e">
        <f t="shared" si="58"/>
        <v>#VALUE!</v>
      </c>
      <c r="AD87" s="100" t="e">
        <f t="shared" si="59"/>
        <v>#VALUE!</v>
      </c>
      <c r="AE87" s="8" t="str">
        <f t="shared" si="60"/>
        <v/>
      </c>
      <c r="AF87" s="8" t="str">
        <f t="shared" si="61"/>
        <v/>
      </c>
      <c r="AG87" s="7" t="str">
        <f t="shared" si="62"/>
        <v>Good</v>
      </c>
      <c r="AI87" s="100">
        <f t="shared" si="32"/>
        <v>28.933263957000001</v>
      </c>
      <c r="AJ87" s="100">
        <f t="shared" si="33"/>
        <v>47.933812947</v>
      </c>
    </row>
    <row r="88" spans="1:36" x14ac:dyDescent="0.2">
      <c r="A88" s="8">
        <v>3.5169999999999999</v>
      </c>
      <c r="B88" s="100">
        <v>28.933292789999999</v>
      </c>
      <c r="C88" s="100">
        <v>47.933708484999997</v>
      </c>
      <c r="D88" s="101">
        <v>3516.5009034250024</v>
      </c>
      <c r="E88" s="42" t="str">
        <f t="shared" si="34"/>
        <v/>
      </c>
      <c r="F88" s="7" t="str">
        <f t="shared" si="35"/>
        <v/>
      </c>
      <c r="G88" s="100" t="str">
        <f t="shared" si="36"/>
        <v/>
      </c>
      <c r="H88" s="100" t="str">
        <f t="shared" si="37"/>
        <v/>
      </c>
      <c r="I88" s="100" t="str">
        <f t="shared" si="38"/>
        <v/>
      </c>
      <c r="J88" s="100" t="str">
        <f t="shared" si="39"/>
        <v/>
      </c>
      <c r="K88" s="102" t="str">
        <f t="shared" si="40"/>
        <v/>
      </c>
      <c r="L88" s="103" t="str">
        <f t="shared" si="41"/>
        <v/>
      </c>
      <c r="M88" s="103" t="str">
        <f t="shared" si="42"/>
        <v/>
      </c>
      <c r="N88" s="103" t="str">
        <f t="shared" si="43"/>
        <v/>
      </c>
      <c r="O88" s="103" t="str">
        <f t="shared" si="44"/>
        <v/>
      </c>
      <c r="P88" s="105" t="str">
        <f t="shared" si="45"/>
        <v/>
      </c>
      <c r="Q88" s="105" t="str">
        <f t="shared" si="46"/>
        <v/>
      </c>
      <c r="R88" s="104" t="str">
        <f t="shared" si="47"/>
        <v/>
      </c>
      <c r="S88" s="104" t="str">
        <f t="shared" si="48"/>
        <v/>
      </c>
      <c r="T88" s="105" t="str">
        <f t="shared" si="49"/>
        <v/>
      </c>
      <c r="U88" s="14" t="str">
        <f t="shared" si="50"/>
        <v/>
      </c>
      <c r="V88" s="14" t="str">
        <f t="shared" si="51"/>
        <v/>
      </c>
      <c r="W88" s="103" t="str">
        <f t="shared" si="52"/>
        <v/>
      </c>
      <c r="X88" s="103" t="str">
        <f t="shared" si="53"/>
        <v/>
      </c>
      <c r="Y88" s="100" t="str">
        <f t="shared" si="54"/>
        <v/>
      </c>
      <c r="Z88" s="100" t="str">
        <f t="shared" si="55"/>
        <v/>
      </c>
      <c r="AA88" s="100" t="e">
        <f t="shared" si="56"/>
        <v>#VALUE!</v>
      </c>
      <c r="AB88" s="100" t="e">
        <f t="shared" si="57"/>
        <v>#VALUE!</v>
      </c>
      <c r="AC88" s="100" t="e">
        <f t="shared" si="58"/>
        <v>#VALUE!</v>
      </c>
      <c r="AD88" s="100" t="e">
        <f t="shared" si="59"/>
        <v>#VALUE!</v>
      </c>
      <c r="AE88" s="8" t="str">
        <f t="shared" si="60"/>
        <v/>
      </c>
      <c r="AF88" s="8" t="str">
        <f t="shared" si="61"/>
        <v/>
      </c>
      <c r="AG88" s="7" t="str">
        <f t="shared" si="62"/>
        <v>Good</v>
      </c>
      <c r="AI88" s="100">
        <f t="shared" si="32"/>
        <v>28.933292789999999</v>
      </c>
      <c r="AJ88" s="100">
        <f t="shared" si="33"/>
        <v>47.933708484999997</v>
      </c>
    </row>
    <row r="89" spans="1:36" x14ac:dyDescent="0.2">
      <c r="A89" s="8">
        <v>3.5190000000000001</v>
      </c>
      <c r="B89" s="100">
        <v>28.933270759999999</v>
      </c>
      <c r="C89" s="100">
        <v>47.933702097999998</v>
      </c>
      <c r="D89" s="101">
        <v>3519.0270413135777</v>
      </c>
      <c r="E89" s="42" t="str">
        <f t="shared" si="34"/>
        <v/>
      </c>
      <c r="F89" s="7" t="str">
        <f t="shared" si="35"/>
        <v/>
      </c>
      <c r="G89" s="100" t="str">
        <f t="shared" si="36"/>
        <v/>
      </c>
      <c r="H89" s="100" t="str">
        <f t="shared" si="37"/>
        <v/>
      </c>
      <c r="I89" s="100" t="str">
        <f t="shared" si="38"/>
        <v/>
      </c>
      <c r="J89" s="100" t="str">
        <f t="shared" si="39"/>
        <v/>
      </c>
      <c r="K89" s="102" t="str">
        <f t="shared" si="40"/>
        <v/>
      </c>
      <c r="L89" s="103" t="str">
        <f t="shared" si="41"/>
        <v/>
      </c>
      <c r="M89" s="103" t="str">
        <f t="shared" si="42"/>
        <v/>
      </c>
      <c r="N89" s="103" t="str">
        <f t="shared" si="43"/>
        <v/>
      </c>
      <c r="O89" s="103" t="str">
        <f t="shared" si="44"/>
        <v/>
      </c>
      <c r="P89" s="105" t="str">
        <f t="shared" si="45"/>
        <v/>
      </c>
      <c r="Q89" s="105" t="str">
        <f t="shared" si="46"/>
        <v/>
      </c>
      <c r="R89" s="104" t="str">
        <f t="shared" si="47"/>
        <v/>
      </c>
      <c r="S89" s="104" t="str">
        <f t="shared" si="48"/>
        <v/>
      </c>
      <c r="T89" s="105" t="str">
        <f t="shared" si="49"/>
        <v/>
      </c>
      <c r="U89" s="14" t="str">
        <f t="shared" si="50"/>
        <v/>
      </c>
      <c r="V89" s="14" t="str">
        <f t="shared" si="51"/>
        <v/>
      </c>
      <c r="W89" s="103" t="str">
        <f t="shared" si="52"/>
        <v/>
      </c>
      <c r="X89" s="103" t="str">
        <f t="shared" si="53"/>
        <v/>
      </c>
      <c r="Y89" s="100" t="str">
        <f t="shared" si="54"/>
        <v/>
      </c>
      <c r="Z89" s="100" t="str">
        <f t="shared" si="55"/>
        <v/>
      </c>
      <c r="AA89" s="100" t="e">
        <f t="shared" si="56"/>
        <v>#VALUE!</v>
      </c>
      <c r="AB89" s="100" t="e">
        <f t="shared" si="57"/>
        <v>#VALUE!</v>
      </c>
      <c r="AC89" s="100" t="e">
        <f t="shared" si="58"/>
        <v>#VALUE!</v>
      </c>
      <c r="AD89" s="100" t="e">
        <f t="shared" si="59"/>
        <v>#VALUE!</v>
      </c>
      <c r="AE89" s="8" t="str">
        <f t="shared" si="60"/>
        <v/>
      </c>
      <c r="AF89" s="8" t="str">
        <f t="shared" si="61"/>
        <v/>
      </c>
      <c r="AG89" s="7" t="str">
        <f t="shared" si="62"/>
        <v>Good</v>
      </c>
      <c r="AI89" s="100">
        <f t="shared" si="32"/>
        <v>28.933270759999999</v>
      </c>
      <c r="AJ89" s="100">
        <f t="shared" si="33"/>
        <v>47.933702097999998</v>
      </c>
    </row>
    <row r="90" spans="1:36" x14ac:dyDescent="0.2">
      <c r="A90" s="8">
        <v>3.5510000000000002</v>
      </c>
      <c r="B90" s="100">
        <v>28.933372381000002</v>
      </c>
      <c r="C90" s="100">
        <v>47.933399215000001</v>
      </c>
      <c r="D90" s="101">
        <v>3550.5727876244864</v>
      </c>
      <c r="E90" s="42" t="str">
        <f t="shared" si="34"/>
        <v/>
      </c>
      <c r="F90" s="7" t="str">
        <f t="shared" si="35"/>
        <v/>
      </c>
      <c r="G90" s="100" t="str">
        <f t="shared" si="36"/>
        <v/>
      </c>
      <c r="H90" s="100" t="str">
        <f t="shared" si="37"/>
        <v/>
      </c>
      <c r="I90" s="100" t="str">
        <f t="shared" si="38"/>
        <v/>
      </c>
      <c r="J90" s="100" t="str">
        <f t="shared" si="39"/>
        <v/>
      </c>
      <c r="K90" s="102" t="str">
        <f t="shared" si="40"/>
        <v/>
      </c>
      <c r="L90" s="103" t="str">
        <f t="shared" si="41"/>
        <v/>
      </c>
      <c r="M90" s="103" t="str">
        <f t="shared" si="42"/>
        <v/>
      </c>
      <c r="N90" s="103" t="str">
        <f t="shared" si="43"/>
        <v/>
      </c>
      <c r="O90" s="103" t="str">
        <f t="shared" si="44"/>
        <v/>
      </c>
      <c r="P90" s="105" t="str">
        <f t="shared" si="45"/>
        <v/>
      </c>
      <c r="Q90" s="105" t="str">
        <f t="shared" si="46"/>
        <v/>
      </c>
      <c r="R90" s="104" t="str">
        <f t="shared" si="47"/>
        <v/>
      </c>
      <c r="S90" s="104" t="str">
        <f t="shared" si="48"/>
        <v/>
      </c>
      <c r="T90" s="105" t="str">
        <f t="shared" si="49"/>
        <v/>
      </c>
      <c r="U90" s="14" t="str">
        <f t="shared" si="50"/>
        <v/>
      </c>
      <c r="V90" s="14" t="str">
        <f t="shared" si="51"/>
        <v/>
      </c>
      <c r="W90" s="103" t="str">
        <f t="shared" si="52"/>
        <v/>
      </c>
      <c r="X90" s="103" t="str">
        <f t="shared" si="53"/>
        <v/>
      </c>
      <c r="Y90" s="100" t="str">
        <f t="shared" si="54"/>
        <v/>
      </c>
      <c r="Z90" s="100" t="str">
        <f t="shared" si="55"/>
        <v/>
      </c>
      <c r="AA90" s="100" t="e">
        <f t="shared" si="56"/>
        <v>#VALUE!</v>
      </c>
      <c r="AB90" s="100" t="e">
        <f t="shared" si="57"/>
        <v>#VALUE!</v>
      </c>
      <c r="AC90" s="100" t="e">
        <f t="shared" si="58"/>
        <v>#VALUE!</v>
      </c>
      <c r="AD90" s="100" t="e">
        <f t="shared" si="59"/>
        <v>#VALUE!</v>
      </c>
      <c r="AE90" s="8" t="str">
        <f t="shared" si="60"/>
        <v/>
      </c>
      <c r="AF90" s="8" t="str">
        <f t="shared" si="61"/>
        <v/>
      </c>
      <c r="AG90" s="7" t="str">
        <f t="shared" si="62"/>
        <v>Good</v>
      </c>
      <c r="AI90" s="100">
        <f t="shared" si="32"/>
        <v>28.933372381000002</v>
      </c>
      <c r="AJ90" s="100">
        <f t="shared" si="33"/>
        <v>47.933399215000001</v>
      </c>
    </row>
    <row r="91" spans="1:36" x14ac:dyDescent="0.2">
      <c r="A91" s="8">
        <v>3.5819999999999999</v>
      </c>
      <c r="B91" s="100">
        <v>28.933451737999999</v>
      </c>
      <c r="C91" s="100">
        <v>47.933085097000003</v>
      </c>
      <c r="D91" s="101">
        <v>3582.367913550469</v>
      </c>
      <c r="E91" s="42" t="str">
        <f t="shared" si="34"/>
        <v/>
      </c>
      <c r="F91" s="7" t="str">
        <f t="shared" si="35"/>
        <v/>
      </c>
      <c r="G91" s="100" t="str">
        <f t="shared" si="36"/>
        <v/>
      </c>
      <c r="H91" s="100" t="str">
        <f t="shared" si="37"/>
        <v/>
      </c>
      <c r="I91" s="100" t="str">
        <f t="shared" si="38"/>
        <v/>
      </c>
      <c r="J91" s="100" t="str">
        <f t="shared" si="39"/>
        <v/>
      </c>
      <c r="K91" s="102" t="str">
        <f t="shared" si="40"/>
        <v/>
      </c>
      <c r="L91" s="103" t="str">
        <f t="shared" si="41"/>
        <v/>
      </c>
      <c r="M91" s="103" t="str">
        <f t="shared" si="42"/>
        <v/>
      </c>
      <c r="N91" s="103" t="str">
        <f t="shared" si="43"/>
        <v/>
      </c>
      <c r="O91" s="103" t="str">
        <f t="shared" si="44"/>
        <v/>
      </c>
      <c r="P91" s="105" t="str">
        <f t="shared" si="45"/>
        <v/>
      </c>
      <c r="Q91" s="105" t="str">
        <f t="shared" si="46"/>
        <v/>
      </c>
      <c r="R91" s="104" t="str">
        <f t="shared" si="47"/>
        <v/>
      </c>
      <c r="S91" s="104" t="str">
        <f t="shared" si="48"/>
        <v/>
      </c>
      <c r="T91" s="105" t="str">
        <f t="shared" si="49"/>
        <v/>
      </c>
      <c r="U91" s="14" t="str">
        <f t="shared" si="50"/>
        <v/>
      </c>
      <c r="V91" s="14" t="str">
        <f t="shared" si="51"/>
        <v/>
      </c>
      <c r="W91" s="103" t="str">
        <f t="shared" si="52"/>
        <v/>
      </c>
      <c r="X91" s="103" t="str">
        <f t="shared" si="53"/>
        <v/>
      </c>
      <c r="Y91" s="100" t="str">
        <f t="shared" si="54"/>
        <v/>
      </c>
      <c r="Z91" s="100" t="str">
        <f t="shared" si="55"/>
        <v/>
      </c>
      <c r="AA91" s="100" t="e">
        <f t="shared" si="56"/>
        <v>#VALUE!</v>
      </c>
      <c r="AB91" s="100" t="e">
        <f t="shared" si="57"/>
        <v>#VALUE!</v>
      </c>
      <c r="AC91" s="100" t="e">
        <f t="shared" si="58"/>
        <v>#VALUE!</v>
      </c>
      <c r="AD91" s="100" t="e">
        <f t="shared" si="59"/>
        <v>#VALUE!</v>
      </c>
      <c r="AE91" s="8" t="str">
        <f t="shared" si="60"/>
        <v/>
      </c>
      <c r="AF91" s="8" t="str">
        <f t="shared" si="61"/>
        <v/>
      </c>
      <c r="AG91" s="7" t="str">
        <f t="shared" si="62"/>
        <v>Good</v>
      </c>
      <c r="AI91" s="100">
        <f t="shared" si="32"/>
        <v>28.933451737999999</v>
      </c>
      <c r="AJ91" s="100">
        <f t="shared" si="33"/>
        <v>47.933085097000003</v>
      </c>
    </row>
    <row r="92" spans="1:36" x14ac:dyDescent="0.2">
      <c r="A92" s="8">
        <v>3.637</v>
      </c>
      <c r="B92" s="100">
        <v>28.933596669</v>
      </c>
      <c r="C92" s="100">
        <v>47.932543240999998</v>
      </c>
      <c r="D92" s="101">
        <v>3637.4693227447174</v>
      </c>
      <c r="E92" s="42" t="str">
        <f t="shared" si="34"/>
        <v/>
      </c>
      <c r="F92" s="7" t="str">
        <f t="shared" si="35"/>
        <v/>
      </c>
      <c r="G92" s="100" t="str">
        <f t="shared" si="36"/>
        <v/>
      </c>
      <c r="H92" s="100" t="str">
        <f t="shared" si="37"/>
        <v/>
      </c>
      <c r="I92" s="100" t="str">
        <f t="shared" si="38"/>
        <v/>
      </c>
      <c r="J92" s="100" t="str">
        <f t="shared" si="39"/>
        <v/>
      </c>
      <c r="K92" s="102" t="str">
        <f t="shared" si="40"/>
        <v/>
      </c>
      <c r="L92" s="103" t="str">
        <f t="shared" si="41"/>
        <v/>
      </c>
      <c r="M92" s="103" t="str">
        <f t="shared" si="42"/>
        <v/>
      </c>
      <c r="N92" s="103" t="str">
        <f t="shared" si="43"/>
        <v/>
      </c>
      <c r="O92" s="103" t="str">
        <f t="shared" si="44"/>
        <v/>
      </c>
      <c r="P92" s="105" t="str">
        <f t="shared" si="45"/>
        <v/>
      </c>
      <c r="Q92" s="105" t="str">
        <f t="shared" si="46"/>
        <v/>
      </c>
      <c r="R92" s="104" t="str">
        <f t="shared" si="47"/>
        <v/>
      </c>
      <c r="S92" s="104" t="str">
        <f t="shared" si="48"/>
        <v/>
      </c>
      <c r="T92" s="105" t="str">
        <f t="shared" si="49"/>
        <v/>
      </c>
      <c r="U92" s="14" t="str">
        <f t="shared" si="50"/>
        <v/>
      </c>
      <c r="V92" s="14" t="str">
        <f t="shared" si="51"/>
        <v/>
      </c>
      <c r="W92" s="103" t="str">
        <f t="shared" si="52"/>
        <v/>
      </c>
      <c r="X92" s="103" t="str">
        <f t="shared" si="53"/>
        <v/>
      </c>
      <c r="Y92" s="100" t="str">
        <f t="shared" si="54"/>
        <v/>
      </c>
      <c r="Z92" s="100" t="str">
        <f t="shared" si="55"/>
        <v/>
      </c>
      <c r="AA92" s="100" t="e">
        <f t="shared" si="56"/>
        <v>#VALUE!</v>
      </c>
      <c r="AB92" s="100" t="e">
        <f t="shared" si="57"/>
        <v>#VALUE!</v>
      </c>
      <c r="AC92" s="100" t="e">
        <f t="shared" si="58"/>
        <v>#VALUE!</v>
      </c>
      <c r="AD92" s="100" t="e">
        <f t="shared" si="59"/>
        <v>#VALUE!</v>
      </c>
      <c r="AE92" s="8" t="str">
        <f t="shared" si="60"/>
        <v/>
      </c>
      <c r="AF92" s="8" t="str">
        <f t="shared" si="61"/>
        <v/>
      </c>
      <c r="AG92" s="7" t="str">
        <f t="shared" si="62"/>
        <v>Good</v>
      </c>
      <c r="AI92" s="100">
        <f t="shared" si="32"/>
        <v>28.933596669</v>
      </c>
      <c r="AJ92" s="100">
        <f t="shared" si="33"/>
        <v>47.932543240999998</v>
      </c>
    </row>
    <row r="93" spans="1:36" x14ac:dyDescent="0.2">
      <c r="A93" s="8">
        <v>3.6469999999999998</v>
      </c>
      <c r="B93" s="100">
        <v>28.933615402000001</v>
      </c>
      <c r="C93" s="100">
        <v>47.93245151</v>
      </c>
      <c r="D93" s="101">
        <v>3646.6301578872199</v>
      </c>
      <c r="E93" s="42" t="str">
        <f t="shared" si="34"/>
        <v/>
      </c>
      <c r="F93" s="7" t="str">
        <f t="shared" si="35"/>
        <v/>
      </c>
      <c r="G93" s="100" t="str">
        <f t="shared" si="36"/>
        <v/>
      </c>
      <c r="H93" s="100" t="str">
        <f t="shared" si="37"/>
        <v/>
      </c>
      <c r="I93" s="100" t="str">
        <f t="shared" si="38"/>
        <v/>
      </c>
      <c r="J93" s="100" t="str">
        <f t="shared" si="39"/>
        <v/>
      </c>
      <c r="K93" s="102" t="str">
        <f t="shared" si="40"/>
        <v/>
      </c>
      <c r="L93" s="103" t="str">
        <f t="shared" si="41"/>
        <v/>
      </c>
      <c r="M93" s="103" t="str">
        <f t="shared" si="42"/>
        <v/>
      </c>
      <c r="N93" s="103" t="str">
        <f t="shared" si="43"/>
        <v/>
      </c>
      <c r="O93" s="103" t="str">
        <f t="shared" si="44"/>
        <v/>
      </c>
      <c r="P93" s="105" t="str">
        <f t="shared" si="45"/>
        <v/>
      </c>
      <c r="Q93" s="105" t="str">
        <f t="shared" si="46"/>
        <v/>
      </c>
      <c r="R93" s="104" t="str">
        <f t="shared" si="47"/>
        <v/>
      </c>
      <c r="S93" s="104" t="str">
        <f t="shared" si="48"/>
        <v/>
      </c>
      <c r="T93" s="105" t="str">
        <f t="shared" si="49"/>
        <v/>
      </c>
      <c r="U93" s="14" t="str">
        <f t="shared" si="50"/>
        <v/>
      </c>
      <c r="V93" s="14" t="str">
        <f t="shared" si="51"/>
        <v/>
      </c>
      <c r="W93" s="103" t="str">
        <f t="shared" si="52"/>
        <v/>
      </c>
      <c r="X93" s="103" t="str">
        <f t="shared" si="53"/>
        <v/>
      </c>
      <c r="Y93" s="100" t="str">
        <f t="shared" si="54"/>
        <v/>
      </c>
      <c r="Z93" s="100" t="str">
        <f t="shared" si="55"/>
        <v/>
      </c>
      <c r="AA93" s="100" t="e">
        <f t="shared" si="56"/>
        <v>#VALUE!</v>
      </c>
      <c r="AB93" s="100" t="e">
        <f t="shared" si="57"/>
        <v>#VALUE!</v>
      </c>
      <c r="AC93" s="100" t="e">
        <f t="shared" si="58"/>
        <v>#VALUE!</v>
      </c>
      <c r="AD93" s="100" t="e">
        <f t="shared" si="59"/>
        <v>#VALUE!</v>
      </c>
      <c r="AE93" s="8" t="str">
        <f t="shared" si="60"/>
        <v/>
      </c>
      <c r="AF93" s="8" t="str">
        <f t="shared" si="61"/>
        <v/>
      </c>
      <c r="AG93" s="7" t="str">
        <f t="shared" si="62"/>
        <v>Good</v>
      </c>
      <c r="AI93" s="100">
        <f t="shared" si="32"/>
        <v>28.933615402000001</v>
      </c>
      <c r="AJ93" s="100">
        <f t="shared" si="33"/>
        <v>47.93245151</v>
      </c>
    </row>
    <row r="94" spans="1:36" x14ac:dyDescent="0.2">
      <c r="A94" s="8">
        <v>3.71</v>
      </c>
      <c r="B94" s="100">
        <v>28.933781556</v>
      </c>
      <c r="C94" s="100">
        <v>47.931829032000003</v>
      </c>
      <c r="D94" s="101">
        <v>3709.9190660642935</v>
      </c>
      <c r="E94" s="42" t="str">
        <f t="shared" si="34"/>
        <v/>
      </c>
      <c r="F94" s="7" t="str">
        <f t="shared" si="35"/>
        <v/>
      </c>
      <c r="G94" s="100" t="str">
        <f t="shared" si="36"/>
        <v/>
      </c>
      <c r="H94" s="100" t="str">
        <f t="shared" si="37"/>
        <v/>
      </c>
      <c r="I94" s="100" t="str">
        <f t="shared" si="38"/>
        <v/>
      </c>
      <c r="J94" s="100" t="str">
        <f t="shared" si="39"/>
        <v/>
      </c>
      <c r="K94" s="102" t="str">
        <f t="shared" si="40"/>
        <v/>
      </c>
      <c r="L94" s="103" t="str">
        <f t="shared" si="41"/>
        <v/>
      </c>
      <c r="M94" s="103" t="str">
        <f t="shared" si="42"/>
        <v/>
      </c>
      <c r="N94" s="103" t="str">
        <f t="shared" si="43"/>
        <v/>
      </c>
      <c r="O94" s="103" t="str">
        <f t="shared" si="44"/>
        <v/>
      </c>
      <c r="P94" s="105" t="str">
        <f t="shared" si="45"/>
        <v/>
      </c>
      <c r="Q94" s="105" t="str">
        <f t="shared" si="46"/>
        <v/>
      </c>
      <c r="R94" s="104" t="str">
        <f t="shared" si="47"/>
        <v/>
      </c>
      <c r="S94" s="104" t="str">
        <f t="shared" si="48"/>
        <v/>
      </c>
      <c r="T94" s="105" t="str">
        <f t="shared" si="49"/>
        <v/>
      </c>
      <c r="U94" s="14" t="str">
        <f t="shared" si="50"/>
        <v/>
      </c>
      <c r="V94" s="14" t="str">
        <f t="shared" si="51"/>
        <v/>
      </c>
      <c r="W94" s="103" t="str">
        <f t="shared" si="52"/>
        <v/>
      </c>
      <c r="X94" s="103" t="str">
        <f t="shared" si="53"/>
        <v/>
      </c>
      <c r="Y94" s="100" t="str">
        <f t="shared" si="54"/>
        <v/>
      </c>
      <c r="Z94" s="100" t="str">
        <f t="shared" si="55"/>
        <v/>
      </c>
      <c r="AA94" s="100" t="e">
        <f t="shared" si="56"/>
        <v>#VALUE!</v>
      </c>
      <c r="AB94" s="100" t="e">
        <f t="shared" si="57"/>
        <v>#VALUE!</v>
      </c>
      <c r="AC94" s="100" t="e">
        <f t="shared" si="58"/>
        <v>#VALUE!</v>
      </c>
      <c r="AD94" s="100" t="e">
        <f t="shared" si="59"/>
        <v>#VALUE!</v>
      </c>
      <c r="AE94" s="8" t="str">
        <f t="shared" si="60"/>
        <v/>
      </c>
      <c r="AF94" s="8" t="str">
        <f t="shared" si="61"/>
        <v/>
      </c>
      <c r="AG94" s="7" t="str">
        <f t="shared" si="62"/>
        <v>Good</v>
      </c>
      <c r="AI94" s="100">
        <f t="shared" si="32"/>
        <v>28.933781556</v>
      </c>
      <c r="AJ94" s="100">
        <f t="shared" si="33"/>
        <v>47.931829032000003</v>
      </c>
    </row>
    <row r="95" spans="1:36" x14ac:dyDescent="0.2">
      <c r="A95" s="8">
        <v>3.7959999999999998</v>
      </c>
      <c r="B95" s="100">
        <v>28.934005926000001</v>
      </c>
      <c r="C95" s="100">
        <v>47.930977620999997</v>
      </c>
      <c r="D95" s="101">
        <v>3796.3906777947473</v>
      </c>
      <c r="E95" s="42" t="str">
        <f t="shared" si="34"/>
        <v/>
      </c>
      <c r="F95" s="7" t="str">
        <f t="shared" si="35"/>
        <v/>
      </c>
      <c r="G95" s="100" t="str">
        <f t="shared" si="36"/>
        <v/>
      </c>
      <c r="H95" s="100" t="str">
        <f t="shared" si="37"/>
        <v/>
      </c>
      <c r="I95" s="100" t="str">
        <f t="shared" si="38"/>
        <v/>
      </c>
      <c r="J95" s="100" t="str">
        <f t="shared" si="39"/>
        <v/>
      </c>
      <c r="K95" s="102" t="str">
        <f t="shared" si="40"/>
        <v/>
      </c>
      <c r="L95" s="103" t="str">
        <f t="shared" si="41"/>
        <v/>
      </c>
      <c r="M95" s="103" t="str">
        <f t="shared" si="42"/>
        <v/>
      </c>
      <c r="N95" s="103" t="str">
        <f t="shared" si="43"/>
        <v/>
      </c>
      <c r="O95" s="103" t="str">
        <f t="shared" si="44"/>
        <v/>
      </c>
      <c r="P95" s="105" t="str">
        <f t="shared" si="45"/>
        <v/>
      </c>
      <c r="Q95" s="105" t="str">
        <f t="shared" si="46"/>
        <v/>
      </c>
      <c r="R95" s="104" t="str">
        <f t="shared" si="47"/>
        <v/>
      </c>
      <c r="S95" s="104" t="str">
        <f t="shared" si="48"/>
        <v/>
      </c>
      <c r="T95" s="105" t="str">
        <f t="shared" si="49"/>
        <v/>
      </c>
      <c r="U95" s="14" t="str">
        <f t="shared" si="50"/>
        <v/>
      </c>
      <c r="V95" s="14" t="str">
        <f t="shared" si="51"/>
        <v/>
      </c>
      <c r="W95" s="103" t="str">
        <f t="shared" si="52"/>
        <v/>
      </c>
      <c r="X95" s="103" t="str">
        <f t="shared" si="53"/>
        <v/>
      </c>
      <c r="Y95" s="100" t="str">
        <f t="shared" si="54"/>
        <v/>
      </c>
      <c r="Z95" s="100" t="str">
        <f t="shared" si="55"/>
        <v/>
      </c>
      <c r="AA95" s="100" t="e">
        <f t="shared" si="56"/>
        <v>#VALUE!</v>
      </c>
      <c r="AB95" s="100" t="e">
        <f t="shared" si="57"/>
        <v>#VALUE!</v>
      </c>
      <c r="AC95" s="100" t="e">
        <f t="shared" si="58"/>
        <v>#VALUE!</v>
      </c>
      <c r="AD95" s="100" t="e">
        <f t="shared" si="59"/>
        <v>#VALUE!</v>
      </c>
      <c r="AE95" s="8" t="str">
        <f t="shared" si="60"/>
        <v/>
      </c>
      <c r="AF95" s="8" t="str">
        <f t="shared" si="61"/>
        <v/>
      </c>
      <c r="AG95" s="7" t="str">
        <f t="shared" si="62"/>
        <v>Good</v>
      </c>
      <c r="AI95" s="100">
        <f t="shared" si="32"/>
        <v>28.934005926000001</v>
      </c>
      <c r="AJ95" s="100">
        <f t="shared" si="33"/>
        <v>47.930977620999997</v>
      </c>
    </row>
    <row r="96" spans="1:36" x14ac:dyDescent="0.2">
      <c r="A96" s="8">
        <v>3.859</v>
      </c>
      <c r="B96" s="100">
        <v>28.934177561999999</v>
      </c>
      <c r="C96" s="100">
        <v>47.930361679000001</v>
      </c>
      <c r="D96" s="101">
        <v>3859.2535743224139</v>
      </c>
      <c r="E96" s="42" t="str">
        <f t="shared" si="34"/>
        <v/>
      </c>
      <c r="F96" s="7" t="str">
        <f t="shared" si="35"/>
        <v/>
      </c>
      <c r="G96" s="100" t="str">
        <f t="shared" si="36"/>
        <v/>
      </c>
      <c r="H96" s="100" t="str">
        <f t="shared" si="37"/>
        <v/>
      </c>
      <c r="I96" s="100" t="str">
        <f t="shared" si="38"/>
        <v/>
      </c>
      <c r="J96" s="100" t="str">
        <f t="shared" si="39"/>
        <v/>
      </c>
      <c r="K96" s="102" t="str">
        <f t="shared" si="40"/>
        <v/>
      </c>
      <c r="L96" s="103" t="str">
        <f t="shared" si="41"/>
        <v/>
      </c>
      <c r="M96" s="103" t="str">
        <f t="shared" si="42"/>
        <v/>
      </c>
      <c r="N96" s="103" t="str">
        <f t="shared" si="43"/>
        <v/>
      </c>
      <c r="O96" s="103" t="str">
        <f t="shared" si="44"/>
        <v/>
      </c>
      <c r="P96" s="105" t="str">
        <f t="shared" si="45"/>
        <v/>
      </c>
      <c r="Q96" s="105" t="str">
        <f t="shared" si="46"/>
        <v/>
      </c>
      <c r="R96" s="104" t="str">
        <f t="shared" si="47"/>
        <v/>
      </c>
      <c r="S96" s="104" t="str">
        <f t="shared" si="48"/>
        <v/>
      </c>
      <c r="T96" s="105" t="str">
        <f t="shared" si="49"/>
        <v/>
      </c>
      <c r="U96" s="14" t="str">
        <f t="shared" si="50"/>
        <v/>
      </c>
      <c r="V96" s="14" t="str">
        <f t="shared" si="51"/>
        <v/>
      </c>
      <c r="W96" s="103" t="str">
        <f t="shared" si="52"/>
        <v/>
      </c>
      <c r="X96" s="103" t="str">
        <f t="shared" si="53"/>
        <v/>
      </c>
      <c r="Y96" s="100" t="str">
        <f t="shared" si="54"/>
        <v/>
      </c>
      <c r="Z96" s="100" t="str">
        <f t="shared" si="55"/>
        <v/>
      </c>
      <c r="AA96" s="100" t="e">
        <f t="shared" si="56"/>
        <v>#VALUE!</v>
      </c>
      <c r="AB96" s="100" t="e">
        <f t="shared" si="57"/>
        <v>#VALUE!</v>
      </c>
      <c r="AC96" s="100" t="e">
        <f t="shared" si="58"/>
        <v>#VALUE!</v>
      </c>
      <c r="AD96" s="100" t="e">
        <f t="shared" si="59"/>
        <v>#VALUE!</v>
      </c>
      <c r="AE96" s="8" t="str">
        <f t="shared" si="60"/>
        <v/>
      </c>
      <c r="AF96" s="8" t="str">
        <f t="shared" si="61"/>
        <v/>
      </c>
      <c r="AG96" s="7" t="str">
        <f t="shared" si="62"/>
        <v>Good</v>
      </c>
      <c r="AI96" s="100">
        <f t="shared" si="32"/>
        <v>28.934177561999999</v>
      </c>
      <c r="AJ96" s="100">
        <f t="shared" si="33"/>
        <v>47.930361679000001</v>
      </c>
    </row>
    <row r="97" spans="1:36" x14ac:dyDescent="0.2">
      <c r="A97" s="8">
        <v>4.0759999999999996</v>
      </c>
      <c r="D97" s="101">
        <v>4076</v>
      </c>
      <c r="E97" s="42">
        <f t="shared" si="34"/>
        <v>216.7464256775861</v>
      </c>
      <c r="F97" s="7">
        <f t="shared" si="35"/>
        <v>1</v>
      </c>
      <c r="G97" s="100">
        <f t="shared" si="36"/>
        <v>28.934177561999999</v>
      </c>
      <c r="H97" s="100">
        <f t="shared" si="37"/>
        <v>47.930361679000001</v>
      </c>
      <c r="I97" s="100">
        <f t="shared" si="38"/>
        <v>28.934718865000001</v>
      </c>
      <c r="J97" s="100">
        <f t="shared" si="39"/>
        <v>47.928208967000003</v>
      </c>
      <c r="K97" s="102">
        <f t="shared" si="40"/>
        <v>38</v>
      </c>
      <c r="L97" s="103">
        <f t="shared" si="41"/>
        <v>3204229.2927152747</v>
      </c>
      <c r="M97" s="103">
        <f t="shared" si="42"/>
        <v>785664.37366553908</v>
      </c>
      <c r="N97" s="103">
        <f t="shared" si="43"/>
        <v>3204284.1080677216</v>
      </c>
      <c r="O97" s="103">
        <f t="shared" si="44"/>
        <v>785452.93486736296</v>
      </c>
      <c r="P97" s="105">
        <f t="shared" si="45"/>
        <v>54.81535244686529</v>
      </c>
      <c r="Q97" s="105">
        <f t="shared" si="46"/>
        <v>-211.43879817612469</v>
      </c>
      <c r="R97" s="104">
        <f t="shared" si="47"/>
        <v>218.42867998053291</v>
      </c>
      <c r="S97" s="104" t="str">
        <f t="shared" si="48"/>
        <v>NW</v>
      </c>
      <c r="T97" s="105">
        <f t="shared" si="49"/>
        <v>0.25366472877678209</v>
      </c>
      <c r="U97" s="14">
        <f t="shared" si="50"/>
        <v>-209.81037727428441</v>
      </c>
      <c r="V97" s="14">
        <f t="shared" si="51"/>
        <v>54.393185529363876</v>
      </c>
      <c r="W97" s="103">
        <f t="shared" si="52"/>
        <v>3204283.6859008041</v>
      </c>
      <c r="X97" s="103">
        <f t="shared" si="53"/>
        <v>785454.56328826479</v>
      </c>
      <c r="Y97" s="100">
        <f t="shared" si="54"/>
        <v>28.934714674148694</v>
      </c>
      <c r="Z97" s="100">
        <f t="shared" si="55"/>
        <v>47.928225548102816</v>
      </c>
      <c r="AA97" s="100">
        <f t="shared" si="56"/>
        <v>-5.3711214869522905E-4</v>
      </c>
      <c r="AB97" s="100">
        <f t="shared" si="57"/>
        <v>-4.1908513068733555E-6</v>
      </c>
      <c r="AC97" s="100">
        <f t="shared" si="58"/>
        <v>2.1361308971847848E-3</v>
      </c>
      <c r="AD97" s="100">
        <f t="shared" si="59"/>
        <v>1.6581102812551762E-5</v>
      </c>
      <c r="AE97" s="8" t="str">
        <f t="shared" si="60"/>
        <v>Good</v>
      </c>
      <c r="AF97" s="8" t="str">
        <f t="shared" si="61"/>
        <v>Good</v>
      </c>
      <c r="AG97" s="7" t="str">
        <f t="shared" si="62"/>
        <v>Good</v>
      </c>
      <c r="AI97" s="100">
        <f t="shared" si="32"/>
        <v>28.934714674148694</v>
      </c>
      <c r="AJ97" s="100">
        <f t="shared" si="33"/>
        <v>47.928225548102816</v>
      </c>
    </row>
    <row r="98" spans="1:36" x14ac:dyDescent="0.2">
      <c r="A98" s="8">
        <v>4.077</v>
      </c>
      <c r="B98" s="100">
        <v>28.934718865000001</v>
      </c>
      <c r="C98" s="100">
        <v>47.928208967000003</v>
      </c>
      <c r="D98" s="101">
        <v>4077.0724544347286</v>
      </c>
      <c r="E98" s="42" t="str">
        <f t="shared" si="34"/>
        <v/>
      </c>
      <c r="F98" s="7" t="str">
        <f t="shared" si="35"/>
        <v/>
      </c>
      <c r="G98" s="100" t="str">
        <f t="shared" si="36"/>
        <v/>
      </c>
      <c r="H98" s="100" t="str">
        <f t="shared" si="37"/>
        <v/>
      </c>
      <c r="I98" s="100" t="str">
        <f t="shared" si="38"/>
        <v/>
      </c>
      <c r="J98" s="100" t="str">
        <f t="shared" si="39"/>
        <v/>
      </c>
      <c r="K98" s="102" t="str">
        <f t="shared" si="40"/>
        <v/>
      </c>
      <c r="L98" s="103" t="str">
        <f t="shared" si="41"/>
        <v/>
      </c>
      <c r="M98" s="103" t="str">
        <f t="shared" si="42"/>
        <v/>
      </c>
      <c r="N98" s="103" t="str">
        <f t="shared" si="43"/>
        <v/>
      </c>
      <c r="O98" s="103" t="str">
        <f t="shared" si="44"/>
        <v/>
      </c>
      <c r="P98" s="105" t="str">
        <f t="shared" si="45"/>
        <v/>
      </c>
      <c r="Q98" s="105" t="str">
        <f t="shared" si="46"/>
        <v/>
      </c>
      <c r="R98" s="104" t="str">
        <f t="shared" si="47"/>
        <v/>
      </c>
      <c r="S98" s="104" t="str">
        <f t="shared" si="48"/>
        <v/>
      </c>
      <c r="T98" s="105" t="str">
        <f t="shared" si="49"/>
        <v/>
      </c>
      <c r="U98" s="14" t="str">
        <f t="shared" si="50"/>
        <v/>
      </c>
      <c r="V98" s="14" t="str">
        <f t="shared" si="51"/>
        <v/>
      </c>
      <c r="W98" s="103" t="str">
        <f t="shared" si="52"/>
        <v/>
      </c>
      <c r="X98" s="103" t="str">
        <f t="shared" si="53"/>
        <v/>
      </c>
      <c r="Y98" s="100" t="str">
        <f t="shared" si="54"/>
        <v/>
      </c>
      <c r="Z98" s="100" t="str">
        <f t="shared" si="55"/>
        <v/>
      </c>
      <c r="AA98" s="100" t="e">
        <f t="shared" si="56"/>
        <v>#VALUE!</v>
      </c>
      <c r="AB98" s="100" t="e">
        <f t="shared" si="57"/>
        <v>#VALUE!</v>
      </c>
      <c r="AC98" s="100" t="e">
        <f t="shared" si="58"/>
        <v>#VALUE!</v>
      </c>
      <c r="AD98" s="100" t="e">
        <f t="shared" si="59"/>
        <v>#VALUE!</v>
      </c>
      <c r="AE98" s="8" t="str">
        <f t="shared" si="60"/>
        <v/>
      </c>
      <c r="AF98" s="8" t="str">
        <f t="shared" si="61"/>
        <v/>
      </c>
      <c r="AG98" s="7" t="str">
        <f t="shared" si="62"/>
        <v>Good</v>
      </c>
      <c r="AI98" s="100">
        <f t="shared" si="32"/>
        <v>28.934718865000001</v>
      </c>
      <c r="AJ98" s="100">
        <f t="shared" si="33"/>
        <v>47.928208967000003</v>
      </c>
    </row>
    <row r="99" spans="1:36" x14ac:dyDescent="0.2">
      <c r="A99" s="8">
        <v>4.1349999999999998</v>
      </c>
      <c r="B99" s="100">
        <v>28.934872640999998</v>
      </c>
      <c r="C99" s="100">
        <v>47.927640252000003</v>
      </c>
      <c r="D99" s="101">
        <v>4134.9587539325194</v>
      </c>
      <c r="E99" s="42" t="str">
        <f t="shared" si="34"/>
        <v/>
      </c>
      <c r="F99" s="7" t="str">
        <f t="shared" si="35"/>
        <v/>
      </c>
      <c r="G99" s="100" t="str">
        <f t="shared" si="36"/>
        <v/>
      </c>
      <c r="H99" s="100" t="str">
        <f t="shared" si="37"/>
        <v/>
      </c>
      <c r="I99" s="100" t="str">
        <f t="shared" si="38"/>
        <v/>
      </c>
      <c r="J99" s="100" t="str">
        <f t="shared" si="39"/>
        <v/>
      </c>
      <c r="K99" s="102" t="str">
        <f t="shared" si="40"/>
        <v/>
      </c>
      <c r="L99" s="103" t="str">
        <f t="shared" si="41"/>
        <v/>
      </c>
      <c r="M99" s="103" t="str">
        <f t="shared" si="42"/>
        <v/>
      </c>
      <c r="N99" s="103" t="str">
        <f t="shared" si="43"/>
        <v/>
      </c>
      <c r="O99" s="103" t="str">
        <f t="shared" si="44"/>
        <v/>
      </c>
      <c r="P99" s="105" t="str">
        <f t="shared" si="45"/>
        <v/>
      </c>
      <c r="Q99" s="105" t="str">
        <f t="shared" si="46"/>
        <v/>
      </c>
      <c r="R99" s="104" t="str">
        <f t="shared" si="47"/>
        <v/>
      </c>
      <c r="S99" s="104" t="str">
        <f t="shared" si="48"/>
        <v/>
      </c>
      <c r="T99" s="105" t="str">
        <f t="shared" si="49"/>
        <v/>
      </c>
      <c r="U99" s="14" t="str">
        <f t="shared" si="50"/>
        <v/>
      </c>
      <c r="V99" s="14" t="str">
        <f t="shared" si="51"/>
        <v/>
      </c>
      <c r="W99" s="103" t="str">
        <f t="shared" si="52"/>
        <v/>
      </c>
      <c r="X99" s="103" t="str">
        <f t="shared" si="53"/>
        <v/>
      </c>
      <c r="Y99" s="100" t="str">
        <f t="shared" si="54"/>
        <v/>
      </c>
      <c r="Z99" s="100" t="str">
        <f t="shared" si="55"/>
        <v/>
      </c>
      <c r="AA99" s="100" t="e">
        <f t="shared" si="56"/>
        <v>#VALUE!</v>
      </c>
      <c r="AB99" s="100" t="e">
        <f t="shared" si="57"/>
        <v>#VALUE!</v>
      </c>
      <c r="AC99" s="100" t="e">
        <f t="shared" si="58"/>
        <v>#VALUE!</v>
      </c>
      <c r="AD99" s="100" t="e">
        <f t="shared" si="59"/>
        <v>#VALUE!</v>
      </c>
      <c r="AE99" s="8" t="str">
        <f t="shared" si="60"/>
        <v/>
      </c>
      <c r="AF99" s="8" t="str">
        <f t="shared" si="61"/>
        <v/>
      </c>
      <c r="AG99" s="7" t="str">
        <f t="shared" si="62"/>
        <v>Good</v>
      </c>
      <c r="AI99" s="100">
        <f t="shared" si="32"/>
        <v>28.934872640999998</v>
      </c>
      <c r="AJ99" s="100">
        <f t="shared" si="33"/>
        <v>47.927640252000003</v>
      </c>
    </row>
    <row r="100" spans="1:36" x14ac:dyDescent="0.2">
      <c r="A100" s="8">
        <v>4.141</v>
      </c>
      <c r="B100" s="100">
        <v>28.934888991000001</v>
      </c>
      <c r="C100" s="100">
        <v>47.927584891999999</v>
      </c>
      <c r="D100" s="101">
        <v>4140.6407329240647</v>
      </c>
      <c r="E100" s="42" t="str">
        <f t="shared" si="34"/>
        <v/>
      </c>
      <c r="F100" s="7" t="str">
        <f t="shared" si="35"/>
        <v/>
      </c>
      <c r="G100" s="100" t="str">
        <f t="shared" si="36"/>
        <v/>
      </c>
      <c r="H100" s="100" t="str">
        <f t="shared" si="37"/>
        <v/>
      </c>
      <c r="I100" s="100" t="str">
        <f t="shared" si="38"/>
        <v/>
      </c>
      <c r="J100" s="100" t="str">
        <f t="shared" si="39"/>
        <v/>
      </c>
      <c r="K100" s="102" t="str">
        <f t="shared" si="40"/>
        <v/>
      </c>
      <c r="L100" s="103" t="str">
        <f t="shared" si="41"/>
        <v/>
      </c>
      <c r="M100" s="103" t="str">
        <f t="shared" si="42"/>
        <v/>
      </c>
      <c r="N100" s="103" t="str">
        <f t="shared" si="43"/>
        <v/>
      </c>
      <c r="O100" s="103" t="str">
        <f t="shared" si="44"/>
        <v/>
      </c>
      <c r="P100" s="105" t="str">
        <f t="shared" si="45"/>
        <v/>
      </c>
      <c r="Q100" s="105" t="str">
        <f t="shared" si="46"/>
        <v/>
      </c>
      <c r="R100" s="104" t="str">
        <f t="shared" si="47"/>
        <v/>
      </c>
      <c r="S100" s="104" t="str">
        <f t="shared" si="48"/>
        <v/>
      </c>
      <c r="T100" s="105" t="str">
        <f t="shared" si="49"/>
        <v/>
      </c>
      <c r="U100" s="14" t="str">
        <f t="shared" si="50"/>
        <v/>
      </c>
      <c r="V100" s="14" t="str">
        <f t="shared" si="51"/>
        <v/>
      </c>
      <c r="W100" s="103" t="str">
        <f t="shared" si="52"/>
        <v/>
      </c>
      <c r="X100" s="103" t="str">
        <f t="shared" si="53"/>
        <v/>
      </c>
      <c r="Y100" s="100" t="str">
        <f t="shared" si="54"/>
        <v/>
      </c>
      <c r="Z100" s="100" t="str">
        <f t="shared" si="55"/>
        <v/>
      </c>
      <c r="AA100" s="100" t="e">
        <f t="shared" si="56"/>
        <v>#VALUE!</v>
      </c>
      <c r="AB100" s="100" t="e">
        <f t="shared" si="57"/>
        <v>#VALUE!</v>
      </c>
      <c r="AC100" s="100" t="e">
        <f t="shared" si="58"/>
        <v>#VALUE!</v>
      </c>
      <c r="AD100" s="100" t="e">
        <f t="shared" si="59"/>
        <v>#VALUE!</v>
      </c>
      <c r="AE100" s="8" t="str">
        <f t="shared" si="60"/>
        <v/>
      </c>
      <c r="AF100" s="8" t="str">
        <f t="shared" si="61"/>
        <v/>
      </c>
      <c r="AG100" s="7" t="str">
        <f t="shared" si="62"/>
        <v>Good</v>
      </c>
      <c r="AI100" s="100">
        <f t="shared" si="32"/>
        <v>28.934888991000001</v>
      </c>
      <c r="AJ100" s="100">
        <f t="shared" si="33"/>
        <v>47.927584891999999</v>
      </c>
    </row>
    <row r="101" spans="1:36" x14ac:dyDescent="0.2">
      <c r="A101" s="8">
        <v>4.2169999999999996</v>
      </c>
      <c r="B101" s="100">
        <v>28.935084575000001</v>
      </c>
      <c r="C101" s="100">
        <v>47.926836596000001</v>
      </c>
      <c r="D101" s="101">
        <v>4216.5875222857439</v>
      </c>
      <c r="E101" s="42" t="str">
        <f t="shared" si="34"/>
        <v/>
      </c>
      <c r="F101" s="7" t="str">
        <f t="shared" si="35"/>
        <v/>
      </c>
      <c r="G101" s="100" t="str">
        <f t="shared" si="36"/>
        <v/>
      </c>
      <c r="H101" s="100" t="str">
        <f t="shared" si="37"/>
        <v/>
      </c>
      <c r="I101" s="100" t="str">
        <f t="shared" si="38"/>
        <v/>
      </c>
      <c r="J101" s="100" t="str">
        <f t="shared" si="39"/>
        <v/>
      </c>
      <c r="K101" s="102" t="str">
        <f t="shared" si="40"/>
        <v/>
      </c>
      <c r="L101" s="103" t="str">
        <f t="shared" si="41"/>
        <v/>
      </c>
      <c r="M101" s="103" t="str">
        <f t="shared" si="42"/>
        <v/>
      </c>
      <c r="N101" s="103" t="str">
        <f t="shared" si="43"/>
        <v/>
      </c>
      <c r="O101" s="103" t="str">
        <f t="shared" si="44"/>
        <v/>
      </c>
      <c r="P101" s="105" t="str">
        <f t="shared" si="45"/>
        <v/>
      </c>
      <c r="Q101" s="105" t="str">
        <f t="shared" si="46"/>
        <v/>
      </c>
      <c r="R101" s="104" t="str">
        <f t="shared" si="47"/>
        <v/>
      </c>
      <c r="S101" s="104" t="str">
        <f t="shared" si="48"/>
        <v/>
      </c>
      <c r="T101" s="105" t="str">
        <f t="shared" si="49"/>
        <v/>
      </c>
      <c r="U101" s="14" t="str">
        <f t="shared" si="50"/>
        <v/>
      </c>
      <c r="V101" s="14" t="str">
        <f t="shared" si="51"/>
        <v/>
      </c>
      <c r="W101" s="103" t="str">
        <f t="shared" si="52"/>
        <v/>
      </c>
      <c r="X101" s="103" t="str">
        <f t="shared" si="53"/>
        <v/>
      </c>
      <c r="Y101" s="100" t="str">
        <f t="shared" si="54"/>
        <v/>
      </c>
      <c r="Z101" s="100" t="str">
        <f t="shared" si="55"/>
        <v/>
      </c>
      <c r="AA101" s="100" t="e">
        <f t="shared" si="56"/>
        <v>#VALUE!</v>
      </c>
      <c r="AB101" s="100" t="e">
        <f t="shared" si="57"/>
        <v>#VALUE!</v>
      </c>
      <c r="AC101" s="100" t="e">
        <f t="shared" si="58"/>
        <v>#VALUE!</v>
      </c>
      <c r="AD101" s="100" t="e">
        <f t="shared" si="59"/>
        <v>#VALUE!</v>
      </c>
      <c r="AE101" s="8" t="str">
        <f t="shared" si="60"/>
        <v/>
      </c>
      <c r="AF101" s="8" t="str">
        <f t="shared" si="61"/>
        <v/>
      </c>
      <c r="AG101" s="7" t="str">
        <f t="shared" si="62"/>
        <v>Good</v>
      </c>
      <c r="AI101" s="100">
        <f t="shared" si="32"/>
        <v>28.935084575000001</v>
      </c>
      <c r="AJ101" s="100">
        <f t="shared" si="33"/>
        <v>47.926836596000001</v>
      </c>
    </row>
    <row r="102" spans="1:36" x14ac:dyDescent="0.2">
      <c r="A102" s="8">
        <v>4.2750000000000004</v>
      </c>
      <c r="B102" s="100">
        <v>28.935232618000001</v>
      </c>
      <c r="C102" s="100">
        <v>47.926255640999997</v>
      </c>
      <c r="D102" s="101">
        <v>4275.4307818185862</v>
      </c>
      <c r="E102" s="42" t="str">
        <f t="shared" si="34"/>
        <v/>
      </c>
      <c r="F102" s="7" t="str">
        <f t="shared" si="35"/>
        <v/>
      </c>
      <c r="G102" s="100" t="str">
        <f t="shared" si="36"/>
        <v/>
      </c>
      <c r="H102" s="100" t="str">
        <f t="shared" si="37"/>
        <v/>
      </c>
      <c r="I102" s="100" t="str">
        <f t="shared" si="38"/>
        <v/>
      </c>
      <c r="J102" s="100" t="str">
        <f t="shared" si="39"/>
        <v/>
      </c>
      <c r="K102" s="102" t="str">
        <f t="shared" si="40"/>
        <v/>
      </c>
      <c r="L102" s="103" t="str">
        <f t="shared" si="41"/>
        <v/>
      </c>
      <c r="M102" s="103" t="str">
        <f t="shared" si="42"/>
        <v/>
      </c>
      <c r="N102" s="103" t="str">
        <f t="shared" si="43"/>
        <v/>
      </c>
      <c r="O102" s="103" t="str">
        <f t="shared" si="44"/>
        <v/>
      </c>
      <c r="P102" s="105" t="str">
        <f t="shared" si="45"/>
        <v/>
      </c>
      <c r="Q102" s="105" t="str">
        <f t="shared" si="46"/>
        <v/>
      </c>
      <c r="R102" s="104" t="str">
        <f t="shared" si="47"/>
        <v/>
      </c>
      <c r="S102" s="104" t="str">
        <f t="shared" si="48"/>
        <v/>
      </c>
      <c r="T102" s="105" t="str">
        <f t="shared" si="49"/>
        <v/>
      </c>
      <c r="U102" s="14" t="str">
        <f t="shared" si="50"/>
        <v/>
      </c>
      <c r="V102" s="14" t="str">
        <f t="shared" si="51"/>
        <v/>
      </c>
      <c r="W102" s="103" t="str">
        <f t="shared" si="52"/>
        <v/>
      </c>
      <c r="X102" s="103" t="str">
        <f t="shared" si="53"/>
        <v/>
      </c>
      <c r="Y102" s="100" t="str">
        <f t="shared" si="54"/>
        <v/>
      </c>
      <c r="Z102" s="100" t="str">
        <f t="shared" si="55"/>
        <v/>
      </c>
      <c r="AA102" s="100" t="e">
        <f t="shared" si="56"/>
        <v>#VALUE!</v>
      </c>
      <c r="AB102" s="100" t="e">
        <f t="shared" si="57"/>
        <v>#VALUE!</v>
      </c>
      <c r="AC102" s="100" t="e">
        <f t="shared" si="58"/>
        <v>#VALUE!</v>
      </c>
      <c r="AD102" s="100" t="e">
        <f t="shared" si="59"/>
        <v>#VALUE!</v>
      </c>
      <c r="AE102" s="8" t="str">
        <f t="shared" si="60"/>
        <v/>
      </c>
      <c r="AF102" s="8" t="str">
        <f t="shared" si="61"/>
        <v/>
      </c>
      <c r="AG102" s="7" t="str">
        <f t="shared" si="62"/>
        <v>Good</v>
      </c>
      <c r="AI102" s="100">
        <f t="shared" si="32"/>
        <v>28.935232618000001</v>
      </c>
      <c r="AJ102" s="100">
        <f t="shared" si="33"/>
        <v>47.926255640999997</v>
      </c>
    </row>
    <row r="103" spans="1:36" x14ac:dyDescent="0.2">
      <c r="A103" s="8">
        <v>4.3029999999999999</v>
      </c>
      <c r="B103" s="100">
        <v>28.935325403</v>
      </c>
      <c r="C103" s="100">
        <v>47.925989827000002</v>
      </c>
      <c r="D103" s="101">
        <v>4303.2611829714724</v>
      </c>
      <c r="E103" s="42" t="str">
        <f t="shared" si="34"/>
        <v/>
      </c>
      <c r="F103" s="7" t="str">
        <f t="shared" si="35"/>
        <v/>
      </c>
      <c r="G103" s="100" t="str">
        <f t="shared" si="36"/>
        <v/>
      </c>
      <c r="H103" s="100" t="str">
        <f t="shared" si="37"/>
        <v/>
      </c>
      <c r="I103" s="100" t="str">
        <f t="shared" si="38"/>
        <v/>
      </c>
      <c r="J103" s="100" t="str">
        <f t="shared" si="39"/>
        <v/>
      </c>
      <c r="K103" s="102" t="str">
        <f t="shared" si="40"/>
        <v/>
      </c>
      <c r="L103" s="103" t="str">
        <f t="shared" si="41"/>
        <v/>
      </c>
      <c r="M103" s="103" t="str">
        <f t="shared" si="42"/>
        <v/>
      </c>
      <c r="N103" s="103" t="str">
        <f t="shared" si="43"/>
        <v/>
      </c>
      <c r="O103" s="103" t="str">
        <f t="shared" si="44"/>
        <v/>
      </c>
      <c r="P103" s="105" t="str">
        <f t="shared" si="45"/>
        <v/>
      </c>
      <c r="Q103" s="105" t="str">
        <f t="shared" si="46"/>
        <v/>
      </c>
      <c r="R103" s="104" t="str">
        <f t="shared" si="47"/>
        <v/>
      </c>
      <c r="S103" s="104" t="str">
        <f t="shared" si="48"/>
        <v/>
      </c>
      <c r="T103" s="105" t="str">
        <f t="shared" si="49"/>
        <v/>
      </c>
      <c r="U103" s="14" t="str">
        <f t="shared" si="50"/>
        <v/>
      </c>
      <c r="V103" s="14" t="str">
        <f t="shared" si="51"/>
        <v/>
      </c>
      <c r="W103" s="103" t="str">
        <f t="shared" si="52"/>
        <v/>
      </c>
      <c r="X103" s="103" t="str">
        <f t="shared" si="53"/>
        <v/>
      </c>
      <c r="Y103" s="100" t="str">
        <f t="shared" si="54"/>
        <v/>
      </c>
      <c r="Z103" s="100" t="str">
        <f t="shared" si="55"/>
        <v/>
      </c>
      <c r="AA103" s="100" t="e">
        <f t="shared" si="56"/>
        <v>#VALUE!</v>
      </c>
      <c r="AB103" s="100" t="e">
        <f t="shared" si="57"/>
        <v>#VALUE!</v>
      </c>
      <c r="AC103" s="100" t="e">
        <f t="shared" si="58"/>
        <v>#VALUE!</v>
      </c>
      <c r="AD103" s="100" t="e">
        <f t="shared" si="59"/>
        <v>#VALUE!</v>
      </c>
      <c r="AE103" s="8" t="str">
        <f t="shared" si="60"/>
        <v/>
      </c>
      <c r="AF103" s="8" t="str">
        <f t="shared" si="61"/>
        <v/>
      </c>
      <c r="AG103" s="7" t="str">
        <f t="shared" si="62"/>
        <v>Good</v>
      </c>
      <c r="AI103" s="100">
        <f t="shared" si="32"/>
        <v>28.935325403</v>
      </c>
      <c r="AJ103" s="100">
        <f t="shared" si="33"/>
        <v>47.925989827000002</v>
      </c>
    </row>
    <row r="104" spans="1:36" x14ac:dyDescent="0.2">
      <c r="A104" s="8">
        <v>4.38</v>
      </c>
      <c r="B104" s="100">
        <v>28.935501982000002</v>
      </c>
      <c r="C104" s="100">
        <v>47.925229035999998</v>
      </c>
      <c r="D104" s="101">
        <v>4379.8044068732615</v>
      </c>
      <c r="E104" s="42" t="str">
        <f t="shared" si="34"/>
        <v/>
      </c>
      <c r="F104" s="7" t="str">
        <f t="shared" si="35"/>
        <v/>
      </c>
      <c r="G104" s="100" t="str">
        <f t="shared" si="36"/>
        <v/>
      </c>
      <c r="H104" s="100" t="str">
        <f t="shared" si="37"/>
        <v/>
      </c>
      <c r="I104" s="100" t="str">
        <f t="shared" si="38"/>
        <v/>
      </c>
      <c r="J104" s="100" t="str">
        <f t="shared" si="39"/>
        <v/>
      </c>
      <c r="K104" s="102" t="str">
        <f t="shared" si="40"/>
        <v/>
      </c>
      <c r="L104" s="103" t="str">
        <f t="shared" si="41"/>
        <v/>
      </c>
      <c r="M104" s="103" t="str">
        <f t="shared" si="42"/>
        <v/>
      </c>
      <c r="N104" s="103" t="str">
        <f t="shared" si="43"/>
        <v/>
      </c>
      <c r="O104" s="103" t="str">
        <f t="shared" si="44"/>
        <v/>
      </c>
      <c r="P104" s="105" t="str">
        <f t="shared" si="45"/>
        <v/>
      </c>
      <c r="Q104" s="105" t="str">
        <f t="shared" si="46"/>
        <v/>
      </c>
      <c r="R104" s="104" t="str">
        <f t="shared" si="47"/>
        <v/>
      </c>
      <c r="S104" s="104" t="str">
        <f t="shared" si="48"/>
        <v/>
      </c>
      <c r="T104" s="105" t="str">
        <f t="shared" si="49"/>
        <v/>
      </c>
      <c r="U104" s="14" t="str">
        <f t="shared" si="50"/>
        <v/>
      </c>
      <c r="V104" s="14" t="str">
        <f t="shared" si="51"/>
        <v/>
      </c>
      <c r="W104" s="103" t="str">
        <f t="shared" si="52"/>
        <v/>
      </c>
      <c r="X104" s="103" t="str">
        <f t="shared" si="53"/>
        <v/>
      </c>
      <c r="Y104" s="100" t="str">
        <f t="shared" si="54"/>
        <v/>
      </c>
      <c r="Z104" s="100" t="str">
        <f t="shared" si="55"/>
        <v/>
      </c>
      <c r="AA104" s="100" t="e">
        <f t="shared" si="56"/>
        <v>#VALUE!</v>
      </c>
      <c r="AB104" s="100" t="e">
        <f t="shared" si="57"/>
        <v>#VALUE!</v>
      </c>
      <c r="AC104" s="100" t="e">
        <f t="shared" si="58"/>
        <v>#VALUE!</v>
      </c>
      <c r="AD104" s="100" t="e">
        <f t="shared" si="59"/>
        <v>#VALUE!</v>
      </c>
      <c r="AE104" s="8" t="str">
        <f t="shared" si="60"/>
        <v/>
      </c>
      <c r="AF104" s="8" t="str">
        <f t="shared" si="61"/>
        <v/>
      </c>
      <c r="AG104" s="7" t="str">
        <f t="shared" si="62"/>
        <v>Good</v>
      </c>
      <c r="AI104" s="100">
        <f t="shared" si="32"/>
        <v>28.935501982000002</v>
      </c>
      <c r="AJ104" s="100">
        <f t="shared" si="33"/>
        <v>47.925229035999998</v>
      </c>
    </row>
    <row r="105" spans="1:36" x14ac:dyDescent="0.2">
      <c r="A105" s="8">
        <v>4.4080000000000004</v>
      </c>
      <c r="B105" s="100">
        <v>28.935572301000001</v>
      </c>
      <c r="C105" s="100">
        <v>47.924954331000002</v>
      </c>
      <c r="D105" s="101">
        <v>4407.6382035840443</v>
      </c>
      <c r="E105" s="42" t="str">
        <f t="shared" si="34"/>
        <v/>
      </c>
      <c r="F105" s="7" t="str">
        <f t="shared" si="35"/>
        <v/>
      </c>
      <c r="G105" s="100" t="str">
        <f t="shared" si="36"/>
        <v/>
      </c>
      <c r="H105" s="100" t="str">
        <f t="shared" si="37"/>
        <v/>
      </c>
      <c r="I105" s="100" t="str">
        <f t="shared" si="38"/>
        <v/>
      </c>
      <c r="J105" s="100" t="str">
        <f t="shared" si="39"/>
        <v/>
      </c>
      <c r="K105" s="102" t="str">
        <f t="shared" si="40"/>
        <v/>
      </c>
      <c r="L105" s="103" t="str">
        <f t="shared" si="41"/>
        <v/>
      </c>
      <c r="M105" s="103" t="str">
        <f t="shared" si="42"/>
        <v/>
      </c>
      <c r="N105" s="103" t="str">
        <f t="shared" si="43"/>
        <v/>
      </c>
      <c r="O105" s="103" t="str">
        <f t="shared" si="44"/>
        <v/>
      </c>
      <c r="P105" s="105" t="str">
        <f t="shared" si="45"/>
        <v/>
      </c>
      <c r="Q105" s="105" t="str">
        <f t="shared" si="46"/>
        <v/>
      </c>
      <c r="R105" s="104" t="str">
        <f t="shared" si="47"/>
        <v/>
      </c>
      <c r="S105" s="104" t="str">
        <f t="shared" si="48"/>
        <v/>
      </c>
      <c r="T105" s="105" t="str">
        <f t="shared" si="49"/>
        <v/>
      </c>
      <c r="U105" s="14" t="str">
        <f t="shared" si="50"/>
        <v/>
      </c>
      <c r="V105" s="14" t="str">
        <f t="shared" si="51"/>
        <v/>
      </c>
      <c r="W105" s="103" t="str">
        <f t="shared" si="52"/>
        <v/>
      </c>
      <c r="X105" s="103" t="str">
        <f t="shared" si="53"/>
        <v/>
      </c>
      <c r="Y105" s="100" t="str">
        <f t="shared" si="54"/>
        <v/>
      </c>
      <c r="Z105" s="100" t="str">
        <f t="shared" si="55"/>
        <v/>
      </c>
      <c r="AA105" s="100" t="e">
        <f t="shared" si="56"/>
        <v>#VALUE!</v>
      </c>
      <c r="AB105" s="100" t="e">
        <f t="shared" si="57"/>
        <v>#VALUE!</v>
      </c>
      <c r="AC105" s="100" t="e">
        <f t="shared" si="58"/>
        <v>#VALUE!</v>
      </c>
      <c r="AD105" s="100" t="e">
        <f t="shared" si="59"/>
        <v>#VALUE!</v>
      </c>
      <c r="AE105" s="8" t="str">
        <f t="shared" si="60"/>
        <v/>
      </c>
      <c r="AF105" s="8" t="str">
        <f t="shared" si="61"/>
        <v/>
      </c>
      <c r="AG105" s="7" t="str">
        <f t="shared" si="62"/>
        <v>Good</v>
      </c>
      <c r="AI105" s="100">
        <f t="shared" si="32"/>
        <v>28.935572301000001</v>
      </c>
      <c r="AJ105" s="100">
        <f t="shared" si="33"/>
        <v>47.924954331000002</v>
      </c>
    </row>
    <row r="106" spans="1:36" x14ac:dyDescent="0.2">
      <c r="A106" s="8">
        <v>4.4619999999999997</v>
      </c>
      <c r="B106" s="100">
        <v>28.935712721000002</v>
      </c>
      <c r="C106" s="100">
        <v>47.924416268000002</v>
      </c>
      <c r="D106" s="101">
        <v>4462.2406220154844</v>
      </c>
      <c r="E106" s="42" t="str">
        <f t="shared" si="34"/>
        <v/>
      </c>
      <c r="F106" s="7" t="str">
        <f t="shared" si="35"/>
        <v/>
      </c>
      <c r="G106" s="100" t="str">
        <f t="shared" si="36"/>
        <v/>
      </c>
      <c r="H106" s="100" t="str">
        <f t="shared" si="37"/>
        <v/>
      </c>
      <c r="I106" s="100" t="str">
        <f t="shared" si="38"/>
        <v/>
      </c>
      <c r="J106" s="100" t="str">
        <f t="shared" si="39"/>
        <v/>
      </c>
      <c r="K106" s="102" t="str">
        <f t="shared" si="40"/>
        <v/>
      </c>
      <c r="L106" s="103" t="str">
        <f t="shared" si="41"/>
        <v/>
      </c>
      <c r="M106" s="103" t="str">
        <f t="shared" si="42"/>
        <v/>
      </c>
      <c r="N106" s="103" t="str">
        <f t="shared" si="43"/>
        <v/>
      </c>
      <c r="O106" s="103" t="str">
        <f t="shared" si="44"/>
        <v/>
      </c>
      <c r="P106" s="105" t="str">
        <f t="shared" si="45"/>
        <v/>
      </c>
      <c r="Q106" s="105" t="str">
        <f t="shared" si="46"/>
        <v/>
      </c>
      <c r="R106" s="104" t="str">
        <f t="shared" si="47"/>
        <v/>
      </c>
      <c r="S106" s="104" t="str">
        <f t="shared" si="48"/>
        <v/>
      </c>
      <c r="T106" s="105" t="str">
        <f t="shared" si="49"/>
        <v/>
      </c>
      <c r="U106" s="14" t="str">
        <f t="shared" si="50"/>
        <v/>
      </c>
      <c r="V106" s="14" t="str">
        <f t="shared" si="51"/>
        <v/>
      </c>
      <c r="W106" s="103" t="str">
        <f t="shared" si="52"/>
        <v/>
      </c>
      <c r="X106" s="103" t="str">
        <f t="shared" si="53"/>
        <v/>
      </c>
      <c r="Y106" s="100" t="str">
        <f t="shared" si="54"/>
        <v/>
      </c>
      <c r="Z106" s="100" t="str">
        <f t="shared" si="55"/>
        <v/>
      </c>
      <c r="AA106" s="100" t="e">
        <f t="shared" si="56"/>
        <v>#VALUE!</v>
      </c>
      <c r="AB106" s="100" t="e">
        <f t="shared" si="57"/>
        <v>#VALUE!</v>
      </c>
      <c r="AC106" s="100" t="e">
        <f t="shared" si="58"/>
        <v>#VALUE!</v>
      </c>
      <c r="AD106" s="100" t="e">
        <f t="shared" si="59"/>
        <v>#VALUE!</v>
      </c>
      <c r="AE106" s="8" t="str">
        <f t="shared" si="60"/>
        <v/>
      </c>
      <c r="AF106" s="8" t="str">
        <f t="shared" si="61"/>
        <v/>
      </c>
      <c r="AG106" s="7" t="str">
        <f t="shared" si="62"/>
        <v>Good</v>
      </c>
      <c r="AI106" s="100">
        <f t="shared" si="32"/>
        <v>28.935712721000002</v>
      </c>
      <c r="AJ106" s="100">
        <f t="shared" si="33"/>
        <v>47.924416268000002</v>
      </c>
    </row>
    <row r="107" spans="1:36" x14ac:dyDescent="0.2">
      <c r="A107" s="8">
        <v>4.508</v>
      </c>
      <c r="B107" s="100">
        <v>28.935831346000001</v>
      </c>
      <c r="C107" s="100">
        <v>47.923960667999999</v>
      </c>
      <c r="D107" s="101">
        <v>4508.4660238686301</v>
      </c>
      <c r="E107" s="42" t="str">
        <f t="shared" si="34"/>
        <v/>
      </c>
      <c r="F107" s="7" t="str">
        <f t="shared" si="35"/>
        <v/>
      </c>
      <c r="G107" s="100" t="str">
        <f t="shared" si="36"/>
        <v/>
      </c>
      <c r="H107" s="100" t="str">
        <f t="shared" si="37"/>
        <v/>
      </c>
      <c r="I107" s="100" t="str">
        <f t="shared" si="38"/>
        <v/>
      </c>
      <c r="J107" s="100" t="str">
        <f t="shared" si="39"/>
        <v/>
      </c>
      <c r="K107" s="102" t="str">
        <f t="shared" si="40"/>
        <v/>
      </c>
      <c r="L107" s="103" t="str">
        <f t="shared" si="41"/>
        <v/>
      </c>
      <c r="M107" s="103" t="str">
        <f t="shared" si="42"/>
        <v/>
      </c>
      <c r="N107" s="103" t="str">
        <f t="shared" si="43"/>
        <v/>
      </c>
      <c r="O107" s="103" t="str">
        <f t="shared" si="44"/>
        <v/>
      </c>
      <c r="P107" s="105" t="str">
        <f t="shared" si="45"/>
        <v/>
      </c>
      <c r="Q107" s="105" t="str">
        <f t="shared" si="46"/>
        <v/>
      </c>
      <c r="R107" s="104" t="str">
        <f t="shared" si="47"/>
        <v/>
      </c>
      <c r="S107" s="104" t="str">
        <f t="shared" si="48"/>
        <v/>
      </c>
      <c r="T107" s="105" t="str">
        <f t="shared" si="49"/>
        <v/>
      </c>
      <c r="U107" s="14" t="str">
        <f t="shared" si="50"/>
        <v/>
      </c>
      <c r="V107" s="14" t="str">
        <f t="shared" si="51"/>
        <v/>
      </c>
      <c r="W107" s="103" t="str">
        <f t="shared" si="52"/>
        <v/>
      </c>
      <c r="X107" s="103" t="str">
        <f t="shared" si="53"/>
        <v/>
      </c>
      <c r="Y107" s="100" t="str">
        <f t="shared" si="54"/>
        <v/>
      </c>
      <c r="Z107" s="100" t="str">
        <f t="shared" si="55"/>
        <v/>
      </c>
      <c r="AA107" s="100" t="e">
        <f t="shared" si="56"/>
        <v>#VALUE!</v>
      </c>
      <c r="AB107" s="100" t="e">
        <f t="shared" si="57"/>
        <v>#VALUE!</v>
      </c>
      <c r="AC107" s="100" t="e">
        <f t="shared" si="58"/>
        <v>#VALUE!</v>
      </c>
      <c r="AD107" s="100" t="e">
        <f t="shared" si="59"/>
        <v>#VALUE!</v>
      </c>
      <c r="AE107" s="8" t="str">
        <f t="shared" si="60"/>
        <v/>
      </c>
      <c r="AF107" s="8" t="str">
        <f t="shared" si="61"/>
        <v/>
      </c>
      <c r="AG107" s="7" t="str">
        <f t="shared" si="62"/>
        <v>Good</v>
      </c>
      <c r="AI107" s="100">
        <f t="shared" si="32"/>
        <v>28.935831346000001</v>
      </c>
      <c r="AJ107" s="100">
        <f t="shared" si="33"/>
        <v>47.923960667999999</v>
      </c>
    </row>
    <row r="108" spans="1:36" x14ac:dyDescent="0.2">
      <c r="A108" s="8">
        <v>4.516</v>
      </c>
      <c r="B108" s="100">
        <v>28.935852906000001</v>
      </c>
      <c r="C108" s="100">
        <v>47.923883713000002</v>
      </c>
      <c r="D108" s="101">
        <v>4516.3231610666844</v>
      </c>
      <c r="E108" s="42" t="str">
        <f t="shared" si="34"/>
        <v/>
      </c>
      <c r="F108" s="7" t="str">
        <f t="shared" si="35"/>
        <v/>
      </c>
      <c r="G108" s="100" t="str">
        <f t="shared" si="36"/>
        <v/>
      </c>
      <c r="H108" s="100" t="str">
        <f t="shared" si="37"/>
        <v/>
      </c>
      <c r="I108" s="100" t="str">
        <f t="shared" si="38"/>
        <v/>
      </c>
      <c r="J108" s="100" t="str">
        <f t="shared" si="39"/>
        <v/>
      </c>
      <c r="K108" s="102" t="str">
        <f t="shared" si="40"/>
        <v/>
      </c>
      <c r="L108" s="103" t="str">
        <f t="shared" si="41"/>
        <v/>
      </c>
      <c r="M108" s="103" t="str">
        <f t="shared" si="42"/>
        <v/>
      </c>
      <c r="N108" s="103" t="str">
        <f t="shared" si="43"/>
        <v/>
      </c>
      <c r="O108" s="103" t="str">
        <f t="shared" si="44"/>
        <v/>
      </c>
      <c r="P108" s="105" t="str">
        <f t="shared" si="45"/>
        <v/>
      </c>
      <c r="Q108" s="105" t="str">
        <f t="shared" si="46"/>
        <v/>
      </c>
      <c r="R108" s="104" t="str">
        <f t="shared" si="47"/>
        <v/>
      </c>
      <c r="S108" s="104" t="str">
        <f t="shared" si="48"/>
        <v/>
      </c>
      <c r="T108" s="105" t="str">
        <f t="shared" si="49"/>
        <v/>
      </c>
      <c r="U108" s="14" t="str">
        <f t="shared" si="50"/>
        <v/>
      </c>
      <c r="V108" s="14" t="str">
        <f t="shared" si="51"/>
        <v/>
      </c>
      <c r="W108" s="103" t="str">
        <f t="shared" si="52"/>
        <v/>
      </c>
      <c r="X108" s="103" t="str">
        <f t="shared" si="53"/>
        <v/>
      </c>
      <c r="Y108" s="100" t="str">
        <f t="shared" si="54"/>
        <v/>
      </c>
      <c r="Z108" s="100" t="str">
        <f t="shared" si="55"/>
        <v/>
      </c>
      <c r="AA108" s="100" t="e">
        <f t="shared" si="56"/>
        <v>#VALUE!</v>
      </c>
      <c r="AB108" s="100" t="e">
        <f t="shared" si="57"/>
        <v>#VALUE!</v>
      </c>
      <c r="AC108" s="100" t="e">
        <f t="shared" si="58"/>
        <v>#VALUE!</v>
      </c>
      <c r="AD108" s="100" t="e">
        <f t="shared" si="59"/>
        <v>#VALUE!</v>
      </c>
      <c r="AE108" s="8" t="str">
        <f t="shared" si="60"/>
        <v/>
      </c>
      <c r="AF108" s="8" t="str">
        <f t="shared" si="61"/>
        <v/>
      </c>
      <c r="AG108" s="7" t="str">
        <f t="shared" si="62"/>
        <v>Good</v>
      </c>
      <c r="AI108" s="100">
        <f t="shared" si="32"/>
        <v>28.935852906000001</v>
      </c>
      <c r="AJ108" s="100">
        <f t="shared" si="33"/>
        <v>47.923883713000002</v>
      </c>
    </row>
    <row r="109" spans="1:36" x14ac:dyDescent="0.2">
      <c r="A109" s="8">
        <v>4.6509999999999998</v>
      </c>
      <c r="B109" s="100">
        <v>28.936192606999999</v>
      </c>
      <c r="C109" s="100">
        <v>47.922549439999997</v>
      </c>
      <c r="D109" s="101">
        <v>4651.4571440364989</v>
      </c>
      <c r="E109" s="42" t="str">
        <f t="shared" si="34"/>
        <v/>
      </c>
      <c r="F109" s="7" t="str">
        <f t="shared" si="35"/>
        <v/>
      </c>
      <c r="G109" s="100" t="str">
        <f t="shared" si="36"/>
        <v/>
      </c>
      <c r="H109" s="100" t="str">
        <f t="shared" si="37"/>
        <v/>
      </c>
      <c r="I109" s="100" t="str">
        <f t="shared" si="38"/>
        <v/>
      </c>
      <c r="J109" s="100" t="str">
        <f t="shared" si="39"/>
        <v/>
      </c>
      <c r="K109" s="102" t="str">
        <f t="shared" si="40"/>
        <v/>
      </c>
      <c r="L109" s="103" t="str">
        <f t="shared" si="41"/>
        <v/>
      </c>
      <c r="M109" s="103" t="str">
        <f t="shared" si="42"/>
        <v/>
      </c>
      <c r="N109" s="103" t="str">
        <f t="shared" si="43"/>
        <v/>
      </c>
      <c r="O109" s="103" t="str">
        <f t="shared" si="44"/>
        <v/>
      </c>
      <c r="P109" s="105" t="str">
        <f t="shared" si="45"/>
        <v/>
      </c>
      <c r="Q109" s="105" t="str">
        <f t="shared" si="46"/>
        <v/>
      </c>
      <c r="R109" s="104" t="str">
        <f t="shared" si="47"/>
        <v/>
      </c>
      <c r="S109" s="104" t="str">
        <f t="shared" si="48"/>
        <v/>
      </c>
      <c r="T109" s="105" t="str">
        <f t="shared" si="49"/>
        <v/>
      </c>
      <c r="U109" s="14" t="str">
        <f t="shared" si="50"/>
        <v/>
      </c>
      <c r="V109" s="14" t="str">
        <f t="shared" si="51"/>
        <v/>
      </c>
      <c r="W109" s="103" t="str">
        <f t="shared" si="52"/>
        <v/>
      </c>
      <c r="X109" s="103" t="str">
        <f t="shared" si="53"/>
        <v/>
      </c>
      <c r="Y109" s="100" t="str">
        <f t="shared" si="54"/>
        <v/>
      </c>
      <c r="Z109" s="100" t="str">
        <f t="shared" si="55"/>
        <v/>
      </c>
      <c r="AA109" s="100" t="e">
        <f t="shared" si="56"/>
        <v>#VALUE!</v>
      </c>
      <c r="AB109" s="100" t="e">
        <f t="shared" si="57"/>
        <v>#VALUE!</v>
      </c>
      <c r="AC109" s="100" t="e">
        <f t="shared" si="58"/>
        <v>#VALUE!</v>
      </c>
      <c r="AD109" s="100" t="e">
        <f t="shared" si="59"/>
        <v>#VALUE!</v>
      </c>
      <c r="AE109" s="8" t="str">
        <f t="shared" si="60"/>
        <v/>
      </c>
      <c r="AF109" s="8" t="str">
        <f t="shared" si="61"/>
        <v/>
      </c>
      <c r="AG109" s="7" t="str">
        <f t="shared" si="62"/>
        <v>Good</v>
      </c>
      <c r="AI109" s="100">
        <f t="shared" si="32"/>
        <v>28.936192606999999</v>
      </c>
      <c r="AJ109" s="100">
        <f t="shared" si="33"/>
        <v>47.922549439999997</v>
      </c>
    </row>
    <row r="110" spans="1:36" x14ac:dyDescent="0.2">
      <c r="A110" s="8">
        <v>4.7830000000000004</v>
      </c>
      <c r="B110" s="100">
        <v>28.936413902000002</v>
      </c>
      <c r="C110" s="100">
        <v>47.921216797</v>
      </c>
      <c r="D110" s="101">
        <v>4783.3654381363294</v>
      </c>
      <c r="E110" s="42" t="str">
        <f t="shared" si="34"/>
        <v/>
      </c>
      <c r="F110" s="7" t="str">
        <f t="shared" si="35"/>
        <v/>
      </c>
      <c r="G110" s="100" t="str">
        <f t="shared" si="36"/>
        <v/>
      </c>
      <c r="H110" s="100" t="str">
        <f t="shared" si="37"/>
        <v/>
      </c>
      <c r="I110" s="100" t="str">
        <f t="shared" si="38"/>
        <v/>
      </c>
      <c r="J110" s="100" t="str">
        <f t="shared" si="39"/>
        <v/>
      </c>
      <c r="K110" s="102" t="str">
        <f t="shared" si="40"/>
        <v/>
      </c>
      <c r="L110" s="103" t="str">
        <f t="shared" si="41"/>
        <v/>
      </c>
      <c r="M110" s="103" t="str">
        <f t="shared" si="42"/>
        <v/>
      </c>
      <c r="N110" s="103" t="str">
        <f t="shared" si="43"/>
        <v/>
      </c>
      <c r="O110" s="103" t="str">
        <f t="shared" si="44"/>
        <v/>
      </c>
      <c r="P110" s="105" t="str">
        <f t="shared" si="45"/>
        <v/>
      </c>
      <c r="Q110" s="105" t="str">
        <f t="shared" si="46"/>
        <v/>
      </c>
      <c r="R110" s="104" t="str">
        <f t="shared" si="47"/>
        <v/>
      </c>
      <c r="S110" s="104" t="str">
        <f t="shared" si="48"/>
        <v/>
      </c>
      <c r="T110" s="105" t="str">
        <f t="shared" si="49"/>
        <v/>
      </c>
      <c r="U110" s="14" t="str">
        <f t="shared" si="50"/>
        <v/>
      </c>
      <c r="V110" s="14" t="str">
        <f t="shared" si="51"/>
        <v/>
      </c>
      <c r="W110" s="103" t="str">
        <f t="shared" si="52"/>
        <v/>
      </c>
      <c r="X110" s="103" t="str">
        <f t="shared" si="53"/>
        <v/>
      </c>
      <c r="Y110" s="100" t="str">
        <f t="shared" si="54"/>
        <v/>
      </c>
      <c r="Z110" s="100" t="str">
        <f t="shared" si="55"/>
        <v/>
      </c>
      <c r="AA110" s="100" t="e">
        <f t="shared" si="56"/>
        <v>#VALUE!</v>
      </c>
      <c r="AB110" s="100" t="e">
        <f t="shared" si="57"/>
        <v>#VALUE!</v>
      </c>
      <c r="AC110" s="100" t="e">
        <f t="shared" si="58"/>
        <v>#VALUE!</v>
      </c>
      <c r="AD110" s="100" t="e">
        <f t="shared" si="59"/>
        <v>#VALUE!</v>
      </c>
      <c r="AE110" s="8" t="str">
        <f t="shared" si="60"/>
        <v/>
      </c>
      <c r="AF110" s="8" t="str">
        <f t="shared" si="61"/>
        <v/>
      </c>
      <c r="AG110" s="7" t="str">
        <f t="shared" si="62"/>
        <v>Good</v>
      </c>
      <c r="AI110" s="100">
        <f t="shared" si="32"/>
        <v>28.936413902000002</v>
      </c>
      <c r="AJ110" s="100">
        <f t="shared" si="33"/>
        <v>47.921216797</v>
      </c>
    </row>
    <row r="111" spans="1:36" x14ac:dyDescent="0.2">
      <c r="A111" s="8">
        <v>4.7880000000000003</v>
      </c>
      <c r="B111" s="100">
        <v>28.936407232000001</v>
      </c>
      <c r="C111" s="100">
        <v>47.921166464999999</v>
      </c>
      <c r="D111" s="101">
        <v>4788.3160372061357</v>
      </c>
      <c r="E111" s="42" t="str">
        <f t="shared" si="34"/>
        <v/>
      </c>
      <c r="F111" s="7" t="str">
        <f t="shared" si="35"/>
        <v/>
      </c>
      <c r="G111" s="100" t="str">
        <f t="shared" si="36"/>
        <v/>
      </c>
      <c r="H111" s="100" t="str">
        <f t="shared" si="37"/>
        <v/>
      </c>
      <c r="I111" s="100" t="str">
        <f t="shared" si="38"/>
        <v/>
      </c>
      <c r="J111" s="100" t="str">
        <f t="shared" si="39"/>
        <v/>
      </c>
      <c r="K111" s="102" t="str">
        <f t="shared" si="40"/>
        <v/>
      </c>
      <c r="L111" s="103" t="str">
        <f t="shared" si="41"/>
        <v/>
      </c>
      <c r="M111" s="103" t="str">
        <f t="shared" si="42"/>
        <v/>
      </c>
      <c r="N111" s="103" t="str">
        <f t="shared" si="43"/>
        <v/>
      </c>
      <c r="O111" s="103" t="str">
        <f t="shared" si="44"/>
        <v/>
      </c>
      <c r="P111" s="105" t="str">
        <f t="shared" si="45"/>
        <v/>
      </c>
      <c r="Q111" s="105" t="str">
        <f t="shared" si="46"/>
        <v/>
      </c>
      <c r="R111" s="104" t="str">
        <f t="shared" si="47"/>
        <v/>
      </c>
      <c r="S111" s="104" t="str">
        <f t="shared" si="48"/>
        <v/>
      </c>
      <c r="T111" s="105" t="str">
        <f t="shared" si="49"/>
        <v/>
      </c>
      <c r="U111" s="14" t="str">
        <f t="shared" si="50"/>
        <v/>
      </c>
      <c r="V111" s="14" t="str">
        <f t="shared" si="51"/>
        <v/>
      </c>
      <c r="W111" s="103" t="str">
        <f t="shared" si="52"/>
        <v/>
      </c>
      <c r="X111" s="103" t="str">
        <f t="shared" si="53"/>
        <v/>
      </c>
      <c r="Y111" s="100" t="str">
        <f t="shared" si="54"/>
        <v/>
      </c>
      <c r="Z111" s="100" t="str">
        <f t="shared" si="55"/>
        <v/>
      </c>
      <c r="AA111" s="100" t="e">
        <f t="shared" si="56"/>
        <v>#VALUE!</v>
      </c>
      <c r="AB111" s="100" t="e">
        <f t="shared" si="57"/>
        <v>#VALUE!</v>
      </c>
      <c r="AC111" s="100" t="e">
        <f t="shared" si="58"/>
        <v>#VALUE!</v>
      </c>
      <c r="AD111" s="100" t="e">
        <f t="shared" si="59"/>
        <v>#VALUE!</v>
      </c>
      <c r="AE111" s="8" t="str">
        <f t="shared" si="60"/>
        <v/>
      </c>
      <c r="AF111" s="8" t="str">
        <f t="shared" si="61"/>
        <v/>
      </c>
      <c r="AG111" s="7" t="str">
        <f t="shared" si="62"/>
        <v>Good</v>
      </c>
      <c r="AI111" s="100">
        <f t="shared" si="32"/>
        <v>28.936407232000001</v>
      </c>
      <c r="AJ111" s="100">
        <f t="shared" si="33"/>
        <v>47.921166464999999</v>
      </c>
    </row>
    <row r="112" spans="1:36" x14ac:dyDescent="0.2">
      <c r="A112" s="8">
        <v>5.0359999999999996</v>
      </c>
      <c r="D112" s="101">
        <v>5036</v>
      </c>
      <c r="E112" s="42">
        <f t="shared" si="34"/>
        <v>247.68396279386434</v>
      </c>
      <c r="F112" s="7">
        <f t="shared" si="35"/>
        <v>1</v>
      </c>
      <c r="G112" s="100">
        <f t="shared" si="36"/>
        <v>28.936407232000001</v>
      </c>
      <c r="H112" s="100">
        <f t="shared" si="37"/>
        <v>47.921166464999999</v>
      </c>
      <c r="I112" s="100">
        <f t="shared" si="38"/>
        <v>28.936784378999999</v>
      </c>
      <c r="J112" s="100">
        <f t="shared" si="39"/>
        <v>47.918647909000001</v>
      </c>
      <c r="K112" s="102">
        <f t="shared" si="40"/>
        <v>38</v>
      </c>
      <c r="L112" s="103">
        <f t="shared" si="41"/>
        <v>3204454.3154509226</v>
      </c>
      <c r="M112" s="103">
        <f t="shared" si="42"/>
        <v>784761.46461159352</v>
      </c>
      <c r="N112" s="103">
        <f t="shared" si="43"/>
        <v>3204490.0668946332</v>
      </c>
      <c r="O112" s="103">
        <f t="shared" si="44"/>
        <v>784514.80521116999</v>
      </c>
      <c r="P112" s="105">
        <f t="shared" si="45"/>
        <v>35.751443710643798</v>
      </c>
      <c r="Q112" s="105">
        <f t="shared" si="46"/>
        <v>-246.65940042352304</v>
      </c>
      <c r="R112" s="104">
        <f t="shared" si="47"/>
        <v>249.23688640465562</v>
      </c>
      <c r="S112" s="104" t="str">
        <f t="shared" si="48"/>
        <v>NW</v>
      </c>
      <c r="T112" s="105">
        <f t="shared" si="49"/>
        <v>0.14394015915439981</v>
      </c>
      <c r="U112" s="14">
        <f t="shared" si="50"/>
        <v>-245.12253638920265</v>
      </c>
      <c r="V112" s="14">
        <f t="shared" si="51"/>
        <v>35.528686710831202</v>
      </c>
      <c r="W112" s="103">
        <f t="shared" si="52"/>
        <v>3204489.8441376332</v>
      </c>
      <c r="X112" s="103">
        <f t="shared" si="53"/>
        <v>784516.34207520436</v>
      </c>
      <c r="Y112" s="100">
        <f t="shared" si="54"/>
        <v>28.936782006937317</v>
      </c>
      <c r="Z112" s="100">
        <f t="shared" si="55"/>
        <v>47.918663603054675</v>
      </c>
      <c r="AA112" s="100">
        <f t="shared" si="56"/>
        <v>-3.747749373168574E-4</v>
      </c>
      <c r="AB112" s="100">
        <f t="shared" si="57"/>
        <v>-2.3720626813883428E-6</v>
      </c>
      <c r="AC112" s="100">
        <f t="shared" si="58"/>
        <v>2.5028619453237866E-3</v>
      </c>
      <c r="AD112" s="100">
        <f t="shared" si="59"/>
        <v>1.5694054674497693E-5</v>
      </c>
      <c r="AE112" s="8" t="str">
        <f t="shared" si="60"/>
        <v>Good</v>
      </c>
      <c r="AF112" s="8" t="str">
        <f t="shared" si="61"/>
        <v>Good</v>
      </c>
      <c r="AG112" s="7" t="str">
        <f t="shared" si="62"/>
        <v>Good</v>
      </c>
      <c r="AI112" s="100">
        <f t="shared" si="32"/>
        <v>28.936782006937317</v>
      </c>
      <c r="AJ112" s="100">
        <f t="shared" si="33"/>
        <v>47.918663603054675</v>
      </c>
    </row>
    <row r="113" spans="1:36" x14ac:dyDescent="0.2">
      <c r="A113" s="8">
        <v>5.0369999999999999</v>
      </c>
      <c r="B113" s="100">
        <v>28.936784378999999</v>
      </c>
      <c r="C113" s="100">
        <v>47.918647909000001</v>
      </c>
      <c r="D113" s="101">
        <v>5036.7978101152303</v>
      </c>
      <c r="E113" s="42" t="str">
        <f t="shared" si="34"/>
        <v/>
      </c>
      <c r="F113" s="7" t="str">
        <f t="shared" si="35"/>
        <v/>
      </c>
      <c r="G113" s="100" t="str">
        <f t="shared" si="36"/>
        <v/>
      </c>
      <c r="H113" s="100" t="str">
        <f t="shared" si="37"/>
        <v/>
      </c>
      <c r="I113" s="100" t="str">
        <f t="shared" si="38"/>
        <v/>
      </c>
      <c r="J113" s="100" t="str">
        <f t="shared" si="39"/>
        <v/>
      </c>
      <c r="K113" s="102" t="str">
        <f t="shared" si="40"/>
        <v/>
      </c>
      <c r="L113" s="103" t="str">
        <f t="shared" si="41"/>
        <v/>
      </c>
      <c r="M113" s="103" t="str">
        <f t="shared" si="42"/>
        <v/>
      </c>
      <c r="N113" s="103" t="str">
        <f t="shared" si="43"/>
        <v/>
      </c>
      <c r="O113" s="103" t="str">
        <f t="shared" si="44"/>
        <v/>
      </c>
      <c r="P113" s="105" t="str">
        <f t="shared" si="45"/>
        <v/>
      </c>
      <c r="Q113" s="105" t="str">
        <f t="shared" si="46"/>
        <v/>
      </c>
      <c r="R113" s="104" t="str">
        <f t="shared" si="47"/>
        <v/>
      </c>
      <c r="S113" s="104" t="str">
        <f t="shared" si="48"/>
        <v/>
      </c>
      <c r="T113" s="105" t="str">
        <f t="shared" si="49"/>
        <v/>
      </c>
      <c r="U113" s="14" t="str">
        <f t="shared" si="50"/>
        <v/>
      </c>
      <c r="V113" s="14" t="str">
        <f t="shared" si="51"/>
        <v/>
      </c>
      <c r="W113" s="103" t="str">
        <f t="shared" si="52"/>
        <v/>
      </c>
      <c r="X113" s="103" t="str">
        <f t="shared" si="53"/>
        <v/>
      </c>
      <c r="Y113" s="100" t="str">
        <f t="shared" si="54"/>
        <v/>
      </c>
      <c r="Z113" s="100" t="str">
        <f t="shared" si="55"/>
        <v/>
      </c>
      <c r="AA113" s="100" t="e">
        <f t="shared" si="56"/>
        <v>#VALUE!</v>
      </c>
      <c r="AB113" s="100" t="e">
        <f t="shared" si="57"/>
        <v>#VALUE!</v>
      </c>
      <c r="AC113" s="100" t="e">
        <f t="shared" si="58"/>
        <v>#VALUE!</v>
      </c>
      <c r="AD113" s="100" t="e">
        <f t="shared" si="59"/>
        <v>#VALUE!</v>
      </c>
      <c r="AE113" s="8" t="str">
        <f t="shared" si="60"/>
        <v/>
      </c>
      <c r="AF113" s="8" t="str">
        <f t="shared" si="61"/>
        <v/>
      </c>
      <c r="AG113" s="7" t="str">
        <f t="shared" si="62"/>
        <v>Good</v>
      </c>
      <c r="AI113" s="100">
        <f t="shared" si="32"/>
        <v>28.936784378999999</v>
      </c>
      <c r="AJ113" s="100">
        <f t="shared" si="33"/>
        <v>47.918647909000001</v>
      </c>
    </row>
    <row r="114" spans="1:36" x14ac:dyDescent="0.2">
      <c r="A114" s="8">
        <v>5.0910000000000002</v>
      </c>
      <c r="B114" s="100">
        <v>28.936864396000001</v>
      </c>
      <c r="C114" s="100">
        <v>47.918092909999999</v>
      </c>
      <c r="D114" s="101">
        <v>5091.4971493917246</v>
      </c>
      <c r="E114" s="42" t="str">
        <f t="shared" si="34"/>
        <v/>
      </c>
      <c r="F114" s="7" t="str">
        <f t="shared" si="35"/>
        <v/>
      </c>
      <c r="G114" s="100" t="str">
        <f t="shared" si="36"/>
        <v/>
      </c>
      <c r="H114" s="100" t="str">
        <f t="shared" si="37"/>
        <v/>
      </c>
      <c r="I114" s="100" t="str">
        <f t="shared" si="38"/>
        <v/>
      </c>
      <c r="J114" s="100" t="str">
        <f t="shared" si="39"/>
        <v/>
      </c>
      <c r="K114" s="102" t="str">
        <f t="shared" si="40"/>
        <v/>
      </c>
      <c r="L114" s="103" t="str">
        <f t="shared" si="41"/>
        <v/>
      </c>
      <c r="M114" s="103" t="str">
        <f t="shared" si="42"/>
        <v/>
      </c>
      <c r="N114" s="103" t="str">
        <f t="shared" si="43"/>
        <v/>
      </c>
      <c r="O114" s="103" t="str">
        <f t="shared" si="44"/>
        <v/>
      </c>
      <c r="P114" s="105" t="str">
        <f t="shared" si="45"/>
        <v/>
      </c>
      <c r="Q114" s="105" t="str">
        <f t="shared" si="46"/>
        <v/>
      </c>
      <c r="R114" s="104" t="str">
        <f t="shared" si="47"/>
        <v/>
      </c>
      <c r="S114" s="104" t="str">
        <f t="shared" si="48"/>
        <v/>
      </c>
      <c r="T114" s="105" t="str">
        <f t="shared" si="49"/>
        <v/>
      </c>
      <c r="U114" s="14" t="str">
        <f t="shared" si="50"/>
        <v/>
      </c>
      <c r="V114" s="14" t="str">
        <f t="shared" si="51"/>
        <v/>
      </c>
      <c r="W114" s="103" t="str">
        <f t="shared" si="52"/>
        <v/>
      </c>
      <c r="X114" s="103" t="str">
        <f t="shared" si="53"/>
        <v/>
      </c>
      <c r="Y114" s="100" t="str">
        <f t="shared" si="54"/>
        <v/>
      </c>
      <c r="Z114" s="100" t="str">
        <f t="shared" si="55"/>
        <v/>
      </c>
      <c r="AA114" s="100" t="e">
        <f t="shared" si="56"/>
        <v>#VALUE!</v>
      </c>
      <c r="AB114" s="100" t="e">
        <f t="shared" si="57"/>
        <v>#VALUE!</v>
      </c>
      <c r="AC114" s="100" t="e">
        <f t="shared" si="58"/>
        <v>#VALUE!</v>
      </c>
      <c r="AD114" s="100" t="e">
        <f t="shared" si="59"/>
        <v>#VALUE!</v>
      </c>
      <c r="AE114" s="8" t="str">
        <f t="shared" si="60"/>
        <v/>
      </c>
      <c r="AF114" s="8" t="str">
        <f t="shared" si="61"/>
        <v/>
      </c>
      <c r="AG114" s="7" t="str">
        <f t="shared" si="62"/>
        <v>Good</v>
      </c>
      <c r="AI114" s="100">
        <f t="shared" si="32"/>
        <v>28.936864396000001</v>
      </c>
      <c r="AJ114" s="100">
        <f t="shared" si="33"/>
        <v>47.918092909999999</v>
      </c>
    </row>
    <row r="115" spans="1:36" x14ac:dyDescent="0.2">
      <c r="A115" s="8">
        <v>5.1680000000000001</v>
      </c>
      <c r="B115" s="100">
        <v>28.93697646</v>
      </c>
      <c r="C115" s="100">
        <v>47.917312002000003</v>
      </c>
      <c r="D115" s="101">
        <v>5168.4520570678487</v>
      </c>
      <c r="E115" s="42" t="str">
        <f t="shared" si="34"/>
        <v/>
      </c>
      <c r="F115" s="7" t="str">
        <f t="shared" si="35"/>
        <v/>
      </c>
      <c r="G115" s="100" t="str">
        <f t="shared" si="36"/>
        <v/>
      </c>
      <c r="H115" s="100" t="str">
        <f t="shared" si="37"/>
        <v/>
      </c>
      <c r="I115" s="100" t="str">
        <f t="shared" si="38"/>
        <v/>
      </c>
      <c r="J115" s="100" t="str">
        <f t="shared" si="39"/>
        <v/>
      </c>
      <c r="K115" s="102" t="str">
        <f t="shared" si="40"/>
        <v/>
      </c>
      <c r="L115" s="103" t="str">
        <f t="shared" si="41"/>
        <v/>
      </c>
      <c r="M115" s="103" t="str">
        <f t="shared" si="42"/>
        <v/>
      </c>
      <c r="N115" s="103" t="str">
        <f t="shared" si="43"/>
        <v/>
      </c>
      <c r="O115" s="103" t="str">
        <f t="shared" si="44"/>
        <v/>
      </c>
      <c r="P115" s="105" t="str">
        <f t="shared" si="45"/>
        <v/>
      </c>
      <c r="Q115" s="105" t="str">
        <f t="shared" si="46"/>
        <v/>
      </c>
      <c r="R115" s="104" t="str">
        <f t="shared" si="47"/>
        <v/>
      </c>
      <c r="S115" s="104" t="str">
        <f t="shared" si="48"/>
        <v/>
      </c>
      <c r="T115" s="105" t="str">
        <f t="shared" si="49"/>
        <v/>
      </c>
      <c r="U115" s="14" t="str">
        <f t="shared" si="50"/>
        <v/>
      </c>
      <c r="V115" s="14" t="str">
        <f t="shared" si="51"/>
        <v/>
      </c>
      <c r="W115" s="103" t="str">
        <f t="shared" si="52"/>
        <v/>
      </c>
      <c r="X115" s="103" t="str">
        <f t="shared" si="53"/>
        <v/>
      </c>
      <c r="Y115" s="100" t="str">
        <f t="shared" si="54"/>
        <v/>
      </c>
      <c r="Z115" s="100" t="str">
        <f t="shared" si="55"/>
        <v/>
      </c>
      <c r="AA115" s="100" t="e">
        <f t="shared" si="56"/>
        <v>#VALUE!</v>
      </c>
      <c r="AB115" s="100" t="e">
        <f t="shared" si="57"/>
        <v>#VALUE!</v>
      </c>
      <c r="AC115" s="100" t="e">
        <f t="shared" si="58"/>
        <v>#VALUE!</v>
      </c>
      <c r="AD115" s="100" t="e">
        <f t="shared" si="59"/>
        <v>#VALUE!</v>
      </c>
      <c r="AE115" s="8" t="str">
        <f t="shared" si="60"/>
        <v/>
      </c>
      <c r="AF115" s="8" t="str">
        <f t="shared" si="61"/>
        <v/>
      </c>
      <c r="AG115" s="7" t="str">
        <f t="shared" si="62"/>
        <v>Good</v>
      </c>
      <c r="AI115" s="100">
        <f t="shared" si="32"/>
        <v>28.93697646</v>
      </c>
      <c r="AJ115" s="100">
        <f t="shared" si="33"/>
        <v>47.917312002000003</v>
      </c>
    </row>
    <row r="116" spans="1:36" x14ac:dyDescent="0.2">
      <c r="A116" s="8">
        <v>5.2270000000000003</v>
      </c>
      <c r="B116" s="100">
        <v>28.937023181000001</v>
      </c>
      <c r="C116" s="100">
        <v>47.916714319999997</v>
      </c>
      <c r="D116" s="101">
        <v>5226.8060358875546</v>
      </c>
      <c r="E116" s="42" t="str">
        <f t="shared" si="34"/>
        <v/>
      </c>
      <c r="F116" s="7" t="str">
        <f t="shared" si="35"/>
        <v/>
      </c>
      <c r="G116" s="100" t="str">
        <f t="shared" si="36"/>
        <v/>
      </c>
      <c r="H116" s="100" t="str">
        <f t="shared" si="37"/>
        <v/>
      </c>
      <c r="I116" s="100" t="str">
        <f t="shared" si="38"/>
        <v/>
      </c>
      <c r="J116" s="100" t="str">
        <f t="shared" si="39"/>
        <v/>
      </c>
      <c r="K116" s="102" t="str">
        <f t="shared" si="40"/>
        <v/>
      </c>
      <c r="L116" s="103" t="str">
        <f t="shared" si="41"/>
        <v/>
      </c>
      <c r="M116" s="103" t="str">
        <f t="shared" si="42"/>
        <v/>
      </c>
      <c r="N116" s="103" t="str">
        <f t="shared" si="43"/>
        <v/>
      </c>
      <c r="O116" s="103" t="str">
        <f t="shared" si="44"/>
        <v/>
      </c>
      <c r="P116" s="105" t="str">
        <f t="shared" si="45"/>
        <v/>
      </c>
      <c r="Q116" s="105" t="str">
        <f t="shared" si="46"/>
        <v/>
      </c>
      <c r="R116" s="104" t="str">
        <f t="shared" si="47"/>
        <v/>
      </c>
      <c r="S116" s="104" t="str">
        <f t="shared" si="48"/>
        <v/>
      </c>
      <c r="T116" s="105" t="str">
        <f t="shared" si="49"/>
        <v/>
      </c>
      <c r="U116" s="14" t="str">
        <f t="shared" si="50"/>
        <v/>
      </c>
      <c r="V116" s="14" t="str">
        <f t="shared" si="51"/>
        <v/>
      </c>
      <c r="W116" s="103" t="str">
        <f t="shared" si="52"/>
        <v/>
      </c>
      <c r="X116" s="103" t="str">
        <f t="shared" si="53"/>
        <v/>
      </c>
      <c r="Y116" s="100" t="str">
        <f t="shared" si="54"/>
        <v/>
      </c>
      <c r="Z116" s="100" t="str">
        <f t="shared" si="55"/>
        <v/>
      </c>
      <c r="AA116" s="100" t="e">
        <f t="shared" si="56"/>
        <v>#VALUE!</v>
      </c>
      <c r="AB116" s="100" t="e">
        <f t="shared" si="57"/>
        <v>#VALUE!</v>
      </c>
      <c r="AC116" s="100" t="e">
        <f t="shared" si="58"/>
        <v>#VALUE!</v>
      </c>
      <c r="AD116" s="100" t="e">
        <f t="shared" si="59"/>
        <v>#VALUE!</v>
      </c>
      <c r="AE116" s="8" t="str">
        <f t="shared" si="60"/>
        <v/>
      </c>
      <c r="AF116" s="8" t="str">
        <f t="shared" si="61"/>
        <v/>
      </c>
      <c r="AG116" s="7" t="str">
        <f t="shared" si="62"/>
        <v>Good</v>
      </c>
      <c r="AI116" s="100">
        <f t="shared" si="32"/>
        <v>28.937023181000001</v>
      </c>
      <c r="AJ116" s="100">
        <f t="shared" si="33"/>
        <v>47.916714319999997</v>
      </c>
    </row>
    <row r="117" spans="1:36" x14ac:dyDescent="0.2">
      <c r="A117" s="8">
        <v>5.26</v>
      </c>
      <c r="B117" s="100">
        <v>28.937133153000001</v>
      </c>
      <c r="C117" s="100">
        <v>47.916399136000003</v>
      </c>
      <c r="D117" s="101">
        <v>5259.8027717715941</v>
      </c>
      <c r="E117" s="42" t="str">
        <f t="shared" si="34"/>
        <v/>
      </c>
      <c r="F117" s="7" t="str">
        <f t="shared" si="35"/>
        <v/>
      </c>
      <c r="G117" s="100" t="str">
        <f t="shared" si="36"/>
        <v/>
      </c>
      <c r="H117" s="100" t="str">
        <f t="shared" si="37"/>
        <v/>
      </c>
      <c r="I117" s="100" t="str">
        <f t="shared" si="38"/>
        <v/>
      </c>
      <c r="J117" s="100" t="str">
        <f t="shared" si="39"/>
        <v/>
      </c>
      <c r="K117" s="102" t="str">
        <f t="shared" si="40"/>
        <v/>
      </c>
      <c r="L117" s="103" t="str">
        <f t="shared" si="41"/>
        <v/>
      </c>
      <c r="M117" s="103" t="str">
        <f t="shared" si="42"/>
        <v/>
      </c>
      <c r="N117" s="103" t="str">
        <f t="shared" si="43"/>
        <v/>
      </c>
      <c r="O117" s="103" t="str">
        <f t="shared" si="44"/>
        <v/>
      </c>
      <c r="P117" s="105" t="str">
        <f t="shared" si="45"/>
        <v/>
      </c>
      <c r="Q117" s="105" t="str">
        <f t="shared" si="46"/>
        <v/>
      </c>
      <c r="R117" s="104" t="str">
        <f t="shared" si="47"/>
        <v/>
      </c>
      <c r="S117" s="104" t="str">
        <f t="shared" si="48"/>
        <v/>
      </c>
      <c r="T117" s="105" t="str">
        <f t="shared" si="49"/>
        <v/>
      </c>
      <c r="U117" s="14" t="str">
        <f t="shared" si="50"/>
        <v/>
      </c>
      <c r="V117" s="14" t="str">
        <f t="shared" si="51"/>
        <v/>
      </c>
      <c r="W117" s="103" t="str">
        <f t="shared" si="52"/>
        <v/>
      </c>
      <c r="X117" s="103" t="str">
        <f t="shared" si="53"/>
        <v/>
      </c>
      <c r="Y117" s="100" t="str">
        <f t="shared" si="54"/>
        <v/>
      </c>
      <c r="Z117" s="100" t="str">
        <f t="shared" si="55"/>
        <v/>
      </c>
      <c r="AA117" s="100" t="e">
        <f t="shared" si="56"/>
        <v>#VALUE!</v>
      </c>
      <c r="AB117" s="100" t="e">
        <f t="shared" si="57"/>
        <v>#VALUE!</v>
      </c>
      <c r="AC117" s="100" t="e">
        <f t="shared" si="58"/>
        <v>#VALUE!</v>
      </c>
      <c r="AD117" s="100" t="e">
        <f t="shared" si="59"/>
        <v>#VALUE!</v>
      </c>
      <c r="AE117" s="8" t="str">
        <f t="shared" si="60"/>
        <v/>
      </c>
      <c r="AF117" s="8" t="str">
        <f t="shared" si="61"/>
        <v/>
      </c>
      <c r="AG117" s="7" t="str">
        <f t="shared" si="62"/>
        <v>Good</v>
      </c>
      <c r="AI117" s="100">
        <f t="shared" si="32"/>
        <v>28.937133153000001</v>
      </c>
      <c r="AJ117" s="100">
        <f t="shared" si="33"/>
        <v>47.916399136000003</v>
      </c>
    </row>
    <row r="118" spans="1:36" x14ac:dyDescent="0.2">
      <c r="A118" s="8">
        <v>5.3840000000000003</v>
      </c>
      <c r="B118" s="100">
        <v>28.937567365</v>
      </c>
      <c r="C118" s="100">
        <v>47.915218221000003</v>
      </c>
      <c r="D118" s="101">
        <v>5384.3666833141506</v>
      </c>
      <c r="E118" s="42" t="str">
        <f t="shared" si="34"/>
        <v/>
      </c>
      <c r="F118" s="7" t="str">
        <f t="shared" si="35"/>
        <v/>
      </c>
      <c r="G118" s="100" t="str">
        <f t="shared" si="36"/>
        <v/>
      </c>
      <c r="H118" s="100" t="str">
        <f t="shared" si="37"/>
        <v/>
      </c>
      <c r="I118" s="100" t="str">
        <f t="shared" si="38"/>
        <v/>
      </c>
      <c r="J118" s="100" t="str">
        <f t="shared" si="39"/>
        <v/>
      </c>
      <c r="K118" s="102" t="str">
        <f t="shared" si="40"/>
        <v/>
      </c>
      <c r="L118" s="103" t="str">
        <f t="shared" si="41"/>
        <v/>
      </c>
      <c r="M118" s="103" t="str">
        <f t="shared" si="42"/>
        <v/>
      </c>
      <c r="N118" s="103" t="str">
        <f t="shared" si="43"/>
        <v/>
      </c>
      <c r="O118" s="103" t="str">
        <f t="shared" si="44"/>
        <v/>
      </c>
      <c r="P118" s="105" t="str">
        <f t="shared" si="45"/>
        <v/>
      </c>
      <c r="Q118" s="105" t="str">
        <f t="shared" si="46"/>
        <v/>
      </c>
      <c r="R118" s="104" t="str">
        <f t="shared" si="47"/>
        <v/>
      </c>
      <c r="S118" s="104" t="str">
        <f t="shared" si="48"/>
        <v/>
      </c>
      <c r="T118" s="105" t="str">
        <f t="shared" si="49"/>
        <v/>
      </c>
      <c r="U118" s="14" t="str">
        <f t="shared" si="50"/>
        <v/>
      </c>
      <c r="V118" s="14" t="str">
        <f t="shared" si="51"/>
        <v/>
      </c>
      <c r="W118" s="103" t="str">
        <f t="shared" si="52"/>
        <v/>
      </c>
      <c r="X118" s="103" t="str">
        <f t="shared" si="53"/>
        <v/>
      </c>
      <c r="Y118" s="100" t="str">
        <f t="shared" si="54"/>
        <v/>
      </c>
      <c r="Z118" s="100" t="str">
        <f t="shared" si="55"/>
        <v/>
      </c>
      <c r="AA118" s="100" t="e">
        <f t="shared" si="56"/>
        <v>#VALUE!</v>
      </c>
      <c r="AB118" s="100" t="e">
        <f t="shared" si="57"/>
        <v>#VALUE!</v>
      </c>
      <c r="AC118" s="100" t="e">
        <f t="shared" si="58"/>
        <v>#VALUE!</v>
      </c>
      <c r="AD118" s="100" t="e">
        <f t="shared" si="59"/>
        <v>#VALUE!</v>
      </c>
      <c r="AE118" s="8" t="str">
        <f t="shared" si="60"/>
        <v/>
      </c>
      <c r="AF118" s="8" t="str">
        <f t="shared" si="61"/>
        <v/>
      </c>
      <c r="AG118" s="7" t="str">
        <f t="shared" si="62"/>
        <v>Good</v>
      </c>
      <c r="AI118" s="100">
        <f t="shared" si="32"/>
        <v>28.937567365</v>
      </c>
      <c r="AJ118" s="100">
        <f t="shared" si="33"/>
        <v>47.915218221000003</v>
      </c>
    </row>
    <row r="119" spans="1:36" x14ac:dyDescent="0.2">
      <c r="A119" s="8">
        <v>5.4470000000000001</v>
      </c>
      <c r="B119" s="100">
        <v>28.937793119999998</v>
      </c>
      <c r="C119" s="100">
        <v>47.914624898</v>
      </c>
      <c r="D119" s="101">
        <v>5447.282533057386</v>
      </c>
      <c r="E119" s="42" t="str">
        <f t="shared" si="34"/>
        <v/>
      </c>
      <c r="F119" s="7" t="str">
        <f t="shared" si="35"/>
        <v/>
      </c>
      <c r="G119" s="100" t="str">
        <f t="shared" si="36"/>
        <v/>
      </c>
      <c r="H119" s="100" t="str">
        <f t="shared" si="37"/>
        <v/>
      </c>
      <c r="I119" s="100" t="str">
        <f t="shared" si="38"/>
        <v/>
      </c>
      <c r="J119" s="100" t="str">
        <f t="shared" si="39"/>
        <v/>
      </c>
      <c r="K119" s="102" t="str">
        <f t="shared" si="40"/>
        <v/>
      </c>
      <c r="L119" s="103" t="str">
        <f t="shared" si="41"/>
        <v/>
      </c>
      <c r="M119" s="103" t="str">
        <f t="shared" si="42"/>
        <v/>
      </c>
      <c r="N119" s="103" t="str">
        <f t="shared" si="43"/>
        <v/>
      </c>
      <c r="O119" s="103" t="str">
        <f t="shared" si="44"/>
        <v/>
      </c>
      <c r="P119" s="105" t="str">
        <f t="shared" si="45"/>
        <v/>
      </c>
      <c r="Q119" s="105" t="str">
        <f t="shared" si="46"/>
        <v/>
      </c>
      <c r="R119" s="104" t="str">
        <f t="shared" si="47"/>
        <v/>
      </c>
      <c r="S119" s="104" t="str">
        <f t="shared" si="48"/>
        <v/>
      </c>
      <c r="T119" s="105" t="str">
        <f t="shared" si="49"/>
        <v/>
      </c>
      <c r="U119" s="14" t="str">
        <f t="shared" si="50"/>
        <v/>
      </c>
      <c r="V119" s="14" t="str">
        <f t="shared" si="51"/>
        <v/>
      </c>
      <c r="W119" s="103" t="str">
        <f t="shared" si="52"/>
        <v/>
      </c>
      <c r="X119" s="103" t="str">
        <f t="shared" si="53"/>
        <v/>
      </c>
      <c r="Y119" s="100" t="str">
        <f t="shared" si="54"/>
        <v/>
      </c>
      <c r="Z119" s="100" t="str">
        <f t="shared" si="55"/>
        <v/>
      </c>
      <c r="AA119" s="100" t="e">
        <f t="shared" si="56"/>
        <v>#VALUE!</v>
      </c>
      <c r="AB119" s="100" t="e">
        <f t="shared" si="57"/>
        <v>#VALUE!</v>
      </c>
      <c r="AC119" s="100" t="e">
        <f t="shared" si="58"/>
        <v>#VALUE!</v>
      </c>
      <c r="AD119" s="100" t="e">
        <f t="shared" si="59"/>
        <v>#VALUE!</v>
      </c>
      <c r="AE119" s="8" t="str">
        <f t="shared" si="60"/>
        <v/>
      </c>
      <c r="AF119" s="8" t="str">
        <f t="shared" si="61"/>
        <v/>
      </c>
      <c r="AG119" s="7" t="str">
        <f t="shared" si="62"/>
        <v>Good</v>
      </c>
      <c r="AI119" s="100">
        <f t="shared" si="32"/>
        <v>28.937793119999998</v>
      </c>
      <c r="AJ119" s="100">
        <f t="shared" si="33"/>
        <v>47.914624898</v>
      </c>
    </row>
    <row r="120" spans="1:36" x14ac:dyDescent="0.2">
      <c r="A120" s="8">
        <v>5.5339999999999998</v>
      </c>
      <c r="B120" s="100">
        <v>28.938114460000001</v>
      </c>
      <c r="C120" s="100">
        <v>47.913808945</v>
      </c>
      <c r="D120" s="101">
        <v>5534.2946420469971</v>
      </c>
      <c r="E120" s="42" t="str">
        <f t="shared" si="34"/>
        <v/>
      </c>
      <c r="F120" s="7" t="str">
        <f t="shared" si="35"/>
        <v/>
      </c>
      <c r="G120" s="100" t="str">
        <f t="shared" si="36"/>
        <v/>
      </c>
      <c r="H120" s="100" t="str">
        <f t="shared" si="37"/>
        <v/>
      </c>
      <c r="I120" s="100" t="str">
        <f t="shared" si="38"/>
        <v/>
      </c>
      <c r="J120" s="100" t="str">
        <f t="shared" si="39"/>
        <v/>
      </c>
      <c r="K120" s="102" t="str">
        <f t="shared" si="40"/>
        <v/>
      </c>
      <c r="L120" s="103" t="str">
        <f t="shared" si="41"/>
        <v/>
      </c>
      <c r="M120" s="103" t="str">
        <f t="shared" si="42"/>
        <v/>
      </c>
      <c r="N120" s="103" t="str">
        <f t="shared" si="43"/>
        <v/>
      </c>
      <c r="O120" s="103" t="str">
        <f t="shared" si="44"/>
        <v/>
      </c>
      <c r="P120" s="105" t="str">
        <f t="shared" si="45"/>
        <v/>
      </c>
      <c r="Q120" s="105" t="str">
        <f t="shared" si="46"/>
        <v/>
      </c>
      <c r="R120" s="104" t="str">
        <f t="shared" si="47"/>
        <v/>
      </c>
      <c r="S120" s="104" t="str">
        <f t="shared" si="48"/>
        <v/>
      </c>
      <c r="T120" s="105" t="str">
        <f t="shared" si="49"/>
        <v/>
      </c>
      <c r="U120" s="14" t="str">
        <f t="shared" si="50"/>
        <v/>
      </c>
      <c r="V120" s="14" t="str">
        <f t="shared" si="51"/>
        <v/>
      </c>
      <c r="W120" s="103" t="str">
        <f t="shared" si="52"/>
        <v/>
      </c>
      <c r="X120" s="103" t="str">
        <f t="shared" si="53"/>
        <v/>
      </c>
      <c r="Y120" s="100" t="str">
        <f t="shared" si="54"/>
        <v/>
      </c>
      <c r="Z120" s="100" t="str">
        <f t="shared" si="55"/>
        <v/>
      </c>
      <c r="AA120" s="100" t="e">
        <f t="shared" si="56"/>
        <v>#VALUE!</v>
      </c>
      <c r="AB120" s="100" t="e">
        <f t="shared" si="57"/>
        <v>#VALUE!</v>
      </c>
      <c r="AC120" s="100" t="e">
        <f t="shared" si="58"/>
        <v>#VALUE!</v>
      </c>
      <c r="AD120" s="100" t="e">
        <f t="shared" si="59"/>
        <v>#VALUE!</v>
      </c>
      <c r="AE120" s="8" t="str">
        <f t="shared" si="60"/>
        <v/>
      </c>
      <c r="AF120" s="8" t="str">
        <f t="shared" si="61"/>
        <v/>
      </c>
      <c r="AG120" s="7" t="str">
        <f t="shared" si="62"/>
        <v>Good</v>
      </c>
      <c r="AI120" s="100">
        <f t="shared" si="32"/>
        <v>28.938114460000001</v>
      </c>
      <c r="AJ120" s="100">
        <f t="shared" si="33"/>
        <v>47.913808945</v>
      </c>
    </row>
    <row r="121" spans="1:36" x14ac:dyDescent="0.2">
      <c r="A121" s="8">
        <v>5.617</v>
      </c>
      <c r="B121" s="100">
        <v>28.938398342999999</v>
      </c>
      <c r="C121" s="100">
        <v>47.913022368</v>
      </c>
      <c r="D121" s="101">
        <v>5617.0350781549369</v>
      </c>
      <c r="E121" s="42" t="str">
        <f t="shared" si="34"/>
        <v/>
      </c>
      <c r="F121" s="7" t="str">
        <f t="shared" si="35"/>
        <v/>
      </c>
      <c r="G121" s="100" t="str">
        <f t="shared" si="36"/>
        <v/>
      </c>
      <c r="H121" s="100" t="str">
        <f t="shared" si="37"/>
        <v/>
      </c>
      <c r="I121" s="100" t="str">
        <f t="shared" si="38"/>
        <v/>
      </c>
      <c r="J121" s="100" t="str">
        <f t="shared" si="39"/>
        <v/>
      </c>
      <c r="K121" s="102" t="str">
        <f t="shared" si="40"/>
        <v/>
      </c>
      <c r="L121" s="103" t="str">
        <f t="shared" si="41"/>
        <v/>
      </c>
      <c r="M121" s="103" t="str">
        <f t="shared" si="42"/>
        <v/>
      </c>
      <c r="N121" s="103" t="str">
        <f t="shared" si="43"/>
        <v/>
      </c>
      <c r="O121" s="103" t="str">
        <f t="shared" si="44"/>
        <v/>
      </c>
      <c r="P121" s="105" t="str">
        <f t="shared" si="45"/>
        <v/>
      </c>
      <c r="Q121" s="105" t="str">
        <f t="shared" si="46"/>
        <v/>
      </c>
      <c r="R121" s="104" t="str">
        <f t="shared" si="47"/>
        <v/>
      </c>
      <c r="S121" s="104" t="str">
        <f t="shared" si="48"/>
        <v/>
      </c>
      <c r="T121" s="105" t="str">
        <f t="shared" si="49"/>
        <v/>
      </c>
      <c r="U121" s="14" t="str">
        <f t="shared" si="50"/>
        <v/>
      </c>
      <c r="V121" s="14" t="str">
        <f t="shared" si="51"/>
        <v/>
      </c>
      <c r="W121" s="103" t="str">
        <f t="shared" si="52"/>
        <v/>
      </c>
      <c r="X121" s="103" t="str">
        <f t="shared" si="53"/>
        <v/>
      </c>
      <c r="Y121" s="100" t="str">
        <f t="shared" si="54"/>
        <v/>
      </c>
      <c r="Z121" s="100" t="str">
        <f t="shared" si="55"/>
        <v/>
      </c>
      <c r="AA121" s="100" t="e">
        <f t="shared" si="56"/>
        <v>#VALUE!</v>
      </c>
      <c r="AB121" s="100" t="e">
        <f t="shared" si="57"/>
        <v>#VALUE!</v>
      </c>
      <c r="AC121" s="100" t="e">
        <f t="shared" si="58"/>
        <v>#VALUE!</v>
      </c>
      <c r="AD121" s="100" t="e">
        <f t="shared" si="59"/>
        <v>#VALUE!</v>
      </c>
      <c r="AE121" s="8" t="str">
        <f t="shared" si="60"/>
        <v/>
      </c>
      <c r="AF121" s="8" t="str">
        <f t="shared" si="61"/>
        <v/>
      </c>
      <c r="AG121" s="7" t="str">
        <f t="shared" si="62"/>
        <v>Good</v>
      </c>
      <c r="AI121" s="100">
        <f t="shared" si="32"/>
        <v>28.938398342999999</v>
      </c>
      <c r="AJ121" s="100">
        <f t="shared" si="33"/>
        <v>47.913022368</v>
      </c>
    </row>
    <row r="122" spans="1:36" x14ac:dyDescent="0.2">
      <c r="A122" s="8">
        <v>5.64</v>
      </c>
      <c r="B122" s="100">
        <v>28.938470947999999</v>
      </c>
      <c r="C122" s="100">
        <v>47.912804108000003</v>
      </c>
      <c r="D122" s="101">
        <v>5639.7415994070707</v>
      </c>
      <c r="E122" s="42" t="str">
        <f t="shared" si="34"/>
        <v/>
      </c>
      <c r="F122" s="7" t="str">
        <f t="shared" si="35"/>
        <v/>
      </c>
      <c r="G122" s="100" t="str">
        <f t="shared" si="36"/>
        <v/>
      </c>
      <c r="H122" s="100" t="str">
        <f t="shared" si="37"/>
        <v/>
      </c>
      <c r="I122" s="100" t="str">
        <f t="shared" si="38"/>
        <v/>
      </c>
      <c r="J122" s="100" t="str">
        <f t="shared" si="39"/>
        <v/>
      </c>
      <c r="K122" s="102" t="str">
        <f t="shared" si="40"/>
        <v/>
      </c>
      <c r="L122" s="103" t="str">
        <f t="shared" si="41"/>
        <v/>
      </c>
      <c r="M122" s="103" t="str">
        <f t="shared" si="42"/>
        <v/>
      </c>
      <c r="N122" s="103" t="str">
        <f t="shared" si="43"/>
        <v/>
      </c>
      <c r="O122" s="103" t="str">
        <f t="shared" si="44"/>
        <v/>
      </c>
      <c r="P122" s="105" t="str">
        <f t="shared" si="45"/>
        <v/>
      </c>
      <c r="Q122" s="105" t="str">
        <f t="shared" si="46"/>
        <v/>
      </c>
      <c r="R122" s="104" t="str">
        <f t="shared" si="47"/>
        <v/>
      </c>
      <c r="S122" s="104" t="str">
        <f t="shared" si="48"/>
        <v/>
      </c>
      <c r="T122" s="105" t="str">
        <f t="shared" si="49"/>
        <v/>
      </c>
      <c r="U122" s="14" t="str">
        <f t="shared" si="50"/>
        <v/>
      </c>
      <c r="V122" s="14" t="str">
        <f t="shared" si="51"/>
        <v/>
      </c>
      <c r="W122" s="103" t="str">
        <f t="shared" si="52"/>
        <v/>
      </c>
      <c r="X122" s="103" t="str">
        <f t="shared" si="53"/>
        <v/>
      </c>
      <c r="Y122" s="100" t="str">
        <f t="shared" si="54"/>
        <v/>
      </c>
      <c r="Z122" s="100" t="str">
        <f t="shared" si="55"/>
        <v/>
      </c>
      <c r="AA122" s="100" t="e">
        <f t="shared" si="56"/>
        <v>#VALUE!</v>
      </c>
      <c r="AB122" s="100" t="e">
        <f t="shared" si="57"/>
        <v>#VALUE!</v>
      </c>
      <c r="AC122" s="100" t="e">
        <f t="shared" si="58"/>
        <v>#VALUE!</v>
      </c>
      <c r="AD122" s="100" t="e">
        <f t="shared" si="59"/>
        <v>#VALUE!</v>
      </c>
      <c r="AE122" s="8" t="str">
        <f t="shared" si="60"/>
        <v/>
      </c>
      <c r="AF122" s="8" t="str">
        <f t="shared" si="61"/>
        <v/>
      </c>
      <c r="AG122" s="7" t="str">
        <f t="shared" si="62"/>
        <v>Good</v>
      </c>
      <c r="AI122" s="100">
        <f t="shared" si="32"/>
        <v>28.938470947999999</v>
      </c>
      <c r="AJ122" s="100">
        <f t="shared" si="33"/>
        <v>47.912804108000003</v>
      </c>
    </row>
    <row r="123" spans="1:36" x14ac:dyDescent="0.2">
      <c r="A123" s="8">
        <v>5.7939999999999996</v>
      </c>
      <c r="B123" s="100">
        <v>28.939009480999999</v>
      </c>
      <c r="C123" s="100">
        <v>47.911337637000003</v>
      </c>
      <c r="D123" s="101">
        <v>5794.3954020379851</v>
      </c>
      <c r="E123" s="42" t="str">
        <f t="shared" si="34"/>
        <v/>
      </c>
      <c r="F123" s="7" t="str">
        <f t="shared" si="35"/>
        <v/>
      </c>
      <c r="G123" s="100" t="str">
        <f t="shared" si="36"/>
        <v/>
      </c>
      <c r="H123" s="100" t="str">
        <f t="shared" si="37"/>
        <v/>
      </c>
      <c r="I123" s="100" t="str">
        <f t="shared" si="38"/>
        <v/>
      </c>
      <c r="J123" s="100" t="str">
        <f t="shared" si="39"/>
        <v/>
      </c>
      <c r="K123" s="102" t="str">
        <f t="shared" si="40"/>
        <v/>
      </c>
      <c r="L123" s="103" t="str">
        <f t="shared" si="41"/>
        <v/>
      </c>
      <c r="M123" s="103" t="str">
        <f t="shared" si="42"/>
        <v/>
      </c>
      <c r="N123" s="103" t="str">
        <f t="shared" si="43"/>
        <v/>
      </c>
      <c r="O123" s="103" t="str">
        <f t="shared" si="44"/>
        <v/>
      </c>
      <c r="P123" s="105" t="str">
        <f t="shared" si="45"/>
        <v/>
      </c>
      <c r="Q123" s="105" t="str">
        <f t="shared" si="46"/>
        <v/>
      </c>
      <c r="R123" s="104" t="str">
        <f t="shared" si="47"/>
        <v/>
      </c>
      <c r="S123" s="104" t="str">
        <f t="shared" si="48"/>
        <v/>
      </c>
      <c r="T123" s="105" t="str">
        <f t="shared" si="49"/>
        <v/>
      </c>
      <c r="U123" s="14" t="str">
        <f t="shared" si="50"/>
        <v/>
      </c>
      <c r="V123" s="14" t="str">
        <f t="shared" si="51"/>
        <v/>
      </c>
      <c r="W123" s="103" t="str">
        <f t="shared" si="52"/>
        <v/>
      </c>
      <c r="X123" s="103" t="str">
        <f t="shared" si="53"/>
        <v/>
      </c>
      <c r="Y123" s="100" t="str">
        <f t="shared" si="54"/>
        <v/>
      </c>
      <c r="Z123" s="100" t="str">
        <f t="shared" si="55"/>
        <v/>
      </c>
      <c r="AA123" s="100" t="e">
        <f t="shared" si="56"/>
        <v>#VALUE!</v>
      </c>
      <c r="AB123" s="100" t="e">
        <f t="shared" si="57"/>
        <v>#VALUE!</v>
      </c>
      <c r="AC123" s="100" t="e">
        <f t="shared" si="58"/>
        <v>#VALUE!</v>
      </c>
      <c r="AD123" s="100" t="e">
        <f t="shared" si="59"/>
        <v>#VALUE!</v>
      </c>
      <c r="AE123" s="8" t="str">
        <f t="shared" si="60"/>
        <v/>
      </c>
      <c r="AF123" s="8" t="str">
        <f t="shared" si="61"/>
        <v/>
      </c>
      <c r="AG123" s="7" t="str">
        <f t="shared" si="62"/>
        <v>Good</v>
      </c>
      <c r="AI123" s="100">
        <f t="shared" si="32"/>
        <v>28.939009480999999</v>
      </c>
      <c r="AJ123" s="100">
        <f t="shared" si="33"/>
        <v>47.911337637000003</v>
      </c>
    </row>
    <row r="124" spans="1:36" x14ac:dyDescent="0.2">
      <c r="A124" s="8">
        <v>5.9340000000000002</v>
      </c>
      <c r="B124" s="100">
        <v>28.9395135</v>
      </c>
      <c r="C124" s="100">
        <v>47.910019419000001</v>
      </c>
      <c r="D124" s="101">
        <v>5934.2856616651925</v>
      </c>
      <c r="E124" s="42" t="str">
        <f t="shared" si="34"/>
        <v/>
      </c>
      <c r="F124" s="7" t="str">
        <f t="shared" si="35"/>
        <v/>
      </c>
      <c r="G124" s="100" t="str">
        <f t="shared" si="36"/>
        <v/>
      </c>
      <c r="H124" s="100" t="str">
        <f t="shared" si="37"/>
        <v/>
      </c>
      <c r="I124" s="100" t="str">
        <f t="shared" si="38"/>
        <v/>
      </c>
      <c r="J124" s="100" t="str">
        <f t="shared" si="39"/>
        <v/>
      </c>
      <c r="K124" s="102" t="str">
        <f t="shared" si="40"/>
        <v/>
      </c>
      <c r="L124" s="103" t="str">
        <f t="shared" si="41"/>
        <v/>
      </c>
      <c r="M124" s="103" t="str">
        <f t="shared" si="42"/>
        <v/>
      </c>
      <c r="N124" s="103" t="str">
        <f t="shared" si="43"/>
        <v/>
      </c>
      <c r="O124" s="103" t="str">
        <f t="shared" si="44"/>
        <v/>
      </c>
      <c r="P124" s="105" t="str">
        <f t="shared" si="45"/>
        <v/>
      </c>
      <c r="Q124" s="105" t="str">
        <f t="shared" si="46"/>
        <v/>
      </c>
      <c r="R124" s="104" t="str">
        <f t="shared" si="47"/>
        <v/>
      </c>
      <c r="S124" s="104" t="str">
        <f t="shared" si="48"/>
        <v/>
      </c>
      <c r="T124" s="105" t="str">
        <f t="shared" si="49"/>
        <v/>
      </c>
      <c r="U124" s="14" t="str">
        <f t="shared" si="50"/>
        <v/>
      </c>
      <c r="V124" s="14" t="str">
        <f t="shared" si="51"/>
        <v/>
      </c>
      <c r="W124" s="103" t="str">
        <f t="shared" si="52"/>
        <v/>
      </c>
      <c r="X124" s="103" t="str">
        <f t="shared" si="53"/>
        <v/>
      </c>
      <c r="Y124" s="100" t="str">
        <f t="shared" si="54"/>
        <v/>
      </c>
      <c r="Z124" s="100" t="str">
        <f t="shared" si="55"/>
        <v/>
      </c>
      <c r="AA124" s="100" t="e">
        <f t="shared" si="56"/>
        <v>#VALUE!</v>
      </c>
      <c r="AB124" s="100" t="e">
        <f t="shared" si="57"/>
        <v>#VALUE!</v>
      </c>
      <c r="AC124" s="100" t="e">
        <f t="shared" si="58"/>
        <v>#VALUE!</v>
      </c>
      <c r="AD124" s="100" t="e">
        <f t="shared" si="59"/>
        <v>#VALUE!</v>
      </c>
      <c r="AE124" s="8" t="str">
        <f t="shared" si="60"/>
        <v/>
      </c>
      <c r="AF124" s="8" t="str">
        <f t="shared" si="61"/>
        <v/>
      </c>
      <c r="AG124" s="7" t="str">
        <f t="shared" si="62"/>
        <v>Good</v>
      </c>
      <c r="AI124" s="100">
        <f t="shared" si="32"/>
        <v>28.9395135</v>
      </c>
      <c r="AJ124" s="100">
        <f t="shared" si="33"/>
        <v>47.910019419000001</v>
      </c>
    </row>
    <row r="125" spans="1:36" x14ac:dyDescent="0.2">
      <c r="A125" s="8">
        <v>6.0019999999999998</v>
      </c>
      <c r="D125" s="101">
        <v>6002</v>
      </c>
      <c r="E125" s="42">
        <f t="shared" si="34"/>
        <v>67.714338334807508</v>
      </c>
      <c r="F125" s="7">
        <f t="shared" si="35"/>
        <v>1</v>
      </c>
      <c r="G125" s="100">
        <f t="shared" si="36"/>
        <v>28.9395135</v>
      </c>
      <c r="H125" s="100">
        <f t="shared" si="37"/>
        <v>47.910019419000001</v>
      </c>
      <c r="I125" s="100">
        <f t="shared" si="38"/>
        <v>28.939671019999999</v>
      </c>
      <c r="J125" s="100">
        <f t="shared" si="39"/>
        <v>47.909339166000002</v>
      </c>
      <c r="K125" s="102">
        <f t="shared" si="40"/>
        <v>38</v>
      </c>
      <c r="L125" s="103">
        <f t="shared" si="41"/>
        <v>3204771.9080877076</v>
      </c>
      <c r="M125" s="103">
        <f t="shared" si="42"/>
        <v>783665.85510680522</v>
      </c>
      <c r="N125" s="103">
        <f t="shared" si="43"/>
        <v>3204787.7402026202</v>
      </c>
      <c r="O125" s="103">
        <f t="shared" si="44"/>
        <v>783599.08471846033</v>
      </c>
      <c r="P125" s="105">
        <f t="shared" si="45"/>
        <v>15.832114912569523</v>
      </c>
      <c r="Q125" s="105">
        <f t="shared" si="46"/>
        <v>-66.77038834488485</v>
      </c>
      <c r="R125" s="104">
        <f t="shared" si="47"/>
        <v>68.621721213705655</v>
      </c>
      <c r="S125" s="104" t="str">
        <f t="shared" si="48"/>
        <v>NW</v>
      </c>
      <c r="T125" s="105">
        <f t="shared" si="49"/>
        <v>0.23281325975384959</v>
      </c>
      <c r="U125" s="14">
        <f t="shared" si="50"/>
        <v>-65.887485582757279</v>
      </c>
      <c r="V125" s="14">
        <f t="shared" si="51"/>
        <v>15.62276735097638</v>
      </c>
      <c r="W125" s="103">
        <f t="shared" si="52"/>
        <v>3204787.5308550587</v>
      </c>
      <c r="X125" s="103">
        <f t="shared" si="53"/>
        <v>783599.96762122249</v>
      </c>
      <c r="Y125" s="100">
        <f t="shared" si="54"/>
        <v>28.939668914597497</v>
      </c>
      <c r="Z125" s="100">
        <f t="shared" si="55"/>
        <v>47.909348162510959</v>
      </c>
      <c r="AA125" s="100">
        <f t="shared" si="56"/>
        <v>-1.5541459749712772E-4</v>
      </c>
      <c r="AB125" s="100">
        <f t="shared" si="57"/>
        <v>-2.1054025012290367E-6</v>
      </c>
      <c r="AC125" s="100">
        <f t="shared" si="58"/>
        <v>6.7125648904209356E-4</v>
      </c>
      <c r="AD125" s="100">
        <f t="shared" si="59"/>
        <v>8.9965109566492174E-6</v>
      </c>
      <c r="AE125" s="8" t="str">
        <f t="shared" si="60"/>
        <v>Good</v>
      </c>
      <c r="AF125" s="8" t="str">
        <f t="shared" si="61"/>
        <v>Good</v>
      </c>
      <c r="AG125" s="7" t="str">
        <f t="shared" si="62"/>
        <v>Good</v>
      </c>
      <c r="AI125" s="100">
        <f t="shared" si="32"/>
        <v>28.939668914597497</v>
      </c>
      <c r="AJ125" s="100">
        <f t="shared" si="33"/>
        <v>47.909348162510959</v>
      </c>
    </row>
    <row r="126" spans="1:36" x14ac:dyDescent="0.2">
      <c r="A126" s="8">
        <v>6.0030000000000001</v>
      </c>
      <c r="B126" s="100">
        <v>28.939671019999999</v>
      </c>
      <c r="C126" s="100">
        <v>47.909339166000002</v>
      </c>
      <c r="D126" s="101">
        <v>6002.7129180752172</v>
      </c>
      <c r="E126" s="42" t="str">
        <f t="shared" si="34"/>
        <v/>
      </c>
      <c r="F126" s="7" t="str">
        <f t="shared" si="35"/>
        <v/>
      </c>
      <c r="G126" s="100" t="str">
        <f t="shared" si="36"/>
        <v/>
      </c>
      <c r="H126" s="100" t="str">
        <f t="shared" si="37"/>
        <v/>
      </c>
      <c r="I126" s="100" t="str">
        <f t="shared" si="38"/>
        <v/>
      </c>
      <c r="J126" s="100" t="str">
        <f t="shared" si="39"/>
        <v/>
      </c>
      <c r="K126" s="102" t="str">
        <f t="shared" si="40"/>
        <v/>
      </c>
      <c r="L126" s="103" t="str">
        <f t="shared" si="41"/>
        <v/>
      </c>
      <c r="M126" s="103" t="str">
        <f t="shared" si="42"/>
        <v/>
      </c>
      <c r="N126" s="103" t="str">
        <f t="shared" si="43"/>
        <v/>
      </c>
      <c r="O126" s="103" t="str">
        <f t="shared" si="44"/>
        <v/>
      </c>
      <c r="P126" s="105" t="str">
        <f t="shared" si="45"/>
        <v/>
      </c>
      <c r="Q126" s="105" t="str">
        <f t="shared" si="46"/>
        <v/>
      </c>
      <c r="R126" s="104" t="str">
        <f t="shared" si="47"/>
        <v/>
      </c>
      <c r="S126" s="104" t="str">
        <f t="shared" si="48"/>
        <v/>
      </c>
      <c r="T126" s="105" t="str">
        <f t="shared" si="49"/>
        <v/>
      </c>
      <c r="U126" s="14" t="str">
        <f t="shared" si="50"/>
        <v/>
      </c>
      <c r="V126" s="14" t="str">
        <f t="shared" si="51"/>
        <v/>
      </c>
      <c r="W126" s="103" t="str">
        <f t="shared" si="52"/>
        <v/>
      </c>
      <c r="X126" s="103" t="str">
        <f t="shared" si="53"/>
        <v/>
      </c>
      <c r="Y126" s="100" t="str">
        <f t="shared" si="54"/>
        <v/>
      </c>
      <c r="Z126" s="100" t="str">
        <f t="shared" si="55"/>
        <v/>
      </c>
      <c r="AA126" s="100" t="e">
        <f t="shared" si="56"/>
        <v>#VALUE!</v>
      </c>
      <c r="AB126" s="100" t="e">
        <f t="shared" si="57"/>
        <v>#VALUE!</v>
      </c>
      <c r="AC126" s="100" t="e">
        <f t="shared" si="58"/>
        <v>#VALUE!</v>
      </c>
      <c r="AD126" s="100" t="e">
        <f t="shared" si="59"/>
        <v>#VALUE!</v>
      </c>
      <c r="AE126" s="8" t="str">
        <f t="shared" si="60"/>
        <v/>
      </c>
      <c r="AF126" s="8" t="str">
        <f t="shared" si="61"/>
        <v/>
      </c>
      <c r="AG126" s="7" t="str">
        <f t="shared" si="62"/>
        <v>Good</v>
      </c>
      <c r="AI126" s="100">
        <f t="shared" si="32"/>
        <v>28.939671019999999</v>
      </c>
      <c r="AJ126" s="100">
        <f t="shared" si="33"/>
        <v>47.909339166000002</v>
      </c>
    </row>
    <row r="127" spans="1:36" x14ac:dyDescent="0.2">
      <c r="A127" s="8">
        <v>6.0229999999999997</v>
      </c>
      <c r="B127" s="100">
        <v>28.939714913</v>
      </c>
      <c r="C127" s="100">
        <v>47.909139207000003</v>
      </c>
      <c r="D127" s="101">
        <v>6022.759924527325</v>
      </c>
      <c r="E127" s="42" t="str">
        <f t="shared" si="34"/>
        <v/>
      </c>
      <c r="F127" s="7" t="str">
        <f t="shared" si="35"/>
        <v/>
      </c>
      <c r="G127" s="100" t="str">
        <f t="shared" si="36"/>
        <v/>
      </c>
      <c r="H127" s="100" t="str">
        <f t="shared" si="37"/>
        <v/>
      </c>
      <c r="I127" s="100" t="str">
        <f t="shared" si="38"/>
        <v/>
      </c>
      <c r="J127" s="100" t="str">
        <f t="shared" si="39"/>
        <v/>
      </c>
      <c r="K127" s="102" t="str">
        <f t="shared" si="40"/>
        <v/>
      </c>
      <c r="L127" s="103" t="str">
        <f t="shared" si="41"/>
        <v/>
      </c>
      <c r="M127" s="103" t="str">
        <f t="shared" si="42"/>
        <v/>
      </c>
      <c r="N127" s="103" t="str">
        <f t="shared" si="43"/>
        <v/>
      </c>
      <c r="O127" s="103" t="str">
        <f t="shared" si="44"/>
        <v/>
      </c>
      <c r="P127" s="105" t="str">
        <f t="shared" si="45"/>
        <v/>
      </c>
      <c r="Q127" s="105" t="str">
        <f t="shared" si="46"/>
        <v/>
      </c>
      <c r="R127" s="104" t="str">
        <f t="shared" si="47"/>
        <v/>
      </c>
      <c r="S127" s="104" t="str">
        <f t="shared" si="48"/>
        <v/>
      </c>
      <c r="T127" s="105" t="str">
        <f t="shared" si="49"/>
        <v/>
      </c>
      <c r="U127" s="14" t="str">
        <f t="shared" si="50"/>
        <v/>
      </c>
      <c r="V127" s="14" t="str">
        <f t="shared" si="51"/>
        <v/>
      </c>
      <c r="W127" s="103" t="str">
        <f t="shared" si="52"/>
        <v/>
      </c>
      <c r="X127" s="103" t="str">
        <f t="shared" si="53"/>
        <v/>
      </c>
      <c r="Y127" s="100" t="str">
        <f t="shared" si="54"/>
        <v/>
      </c>
      <c r="Z127" s="100" t="str">
        <f t="shared" si="55"/>
        <v/>
      </c>
      <c r="AA127" s="100" t="e">
        <f t="shared" si="56"/>
        <v>#VALUE!</v>
      </c>
      <c r="AB127" s="100" t="e">
        <f t="shared" si="57"/>
        <v>#VALUE!</v>
      </c>
      <c r="AC127" s="100" t="e">
        <f t="shared" si="58"/>
        <v>#VALUE!</v>
      </c>
      <c r="AD127" s="100" t="e">
        <f t="shared" si="59"/>
        <v>#VALUE!</v>
      </c>
      <c r="AE127" s="8" t="str">
        <f t="shared" si="60"/>
        <v/>
      </c>
      <c r="AF127" s="8" t="str">
        <f t="shared" si="61"/>
        <v/>
      </c>
      <c r="AG127" s="7" t="str">
        <f t="shared" si="62"/>
        <v>Good</v>
      </c>
      <c r="AI127" s="100">
        <f t="shared" si="32"/>
        <v>28.939714913</v>
      </c>
      <c r="AJ127" s="100">
        <f t="shared" si="33"/>
        <v>47.909139207000003</v>
      </c>
    </row>
    <row r="128" spans="1:36" x14ac:dyDescent="0.2">
      <c r="A128" s="8">
        <v>6.1189999999999998</v>
      </c>
      <c r="B128" s="100">
        <v>28.939966432999999</v>
      </c>
      <c r="C128" s="100">
        <v>47.908194236</v>
      </c>
      <c r="D128" s="101">
        <v>6118.8089834165539</v>
      </c>
      <c r="E128" s="42" t="str">
        <f t="shared" si="34"/>
        <v/>
      </c>
      <c r="F128" s="7" t="str">
        <f t="shared" si="35"/>
        <v/>
      </c>
      <c r="G128" s="100" t="str">
        <f t="shared" si="36"/>
        <v/>
      </c>
      <c r="H128" s="100" t="str">
        <f t="shared" si="37"/>
        <v/>
      </c>
      <c r="I128" s="100" t="str">
        <f t="shared" si="38"/>
        <v/>
      </c>
      <c r="J128" s="100" t="str">
        <f t="shared" si="39"/>
        <v/>
      </c>
      <c r="K128" s="102" t="str">
        <f t="shared" si="40"/>
        <v/>
      </c>
      <c r="L128" s="103" t="str">
        <f t="shared" si="41"/>
        <v/>
      </c>
      <c r="M128" s="103" t="str">
        <f t="shared" si="42"/>
        <v/>
      </c>
      <c r="N128" s="103" t="str">
        <f t="shared" si="43"/>
        <v/>
      </c>
      <c r="O128" s="103" t="str">
        <f t="shared" si="44"/>
        <v/>
      </c>
      <c r="P128" s="105" t="str">
        <f t="shared" si="45"/>
        <v/>
      </c>
      <c r="Q128" s="105" t="str">
        <f t="shared" si="46"/>
        <v/>
      </c>
      <c r="R128" s="104" t="str">
        <f t="shared" si="47"/>
        <v/>
      </c>
      <c r="S128" s="104" t="str">
        <f t="shared" si="48"/>
        <v/>
      </c>
      <c r="T128" s="105" t="str">
        <f t="shared" si="49"/>
        <v/>
      </c>
      <c r="U128" s="14" t="str">
        <f t="shared" si="50"/>
        <v/>
      </c>
      <c r="V128" s="14" t="str">
        <f t="shared" si="51"/>
        <v/>
      </c>
      <c r="W128" s="103" t="str">
        <f t="shared" si="52"/>
        <v/>
      </c>
      <c r="X128" s="103" t="str">
        <f t="shared" si="53"/>
        <v/>
      </c>
      <c r="Y128" s="100" t="str">
        <f t="shared" si="54"/>
        <v/>
      </c>
      <c r="Z128" s="100" t="str">
        <f t="shared" si="55"/>
        <v/>
      </c>
      <c r="AA128" s="100" t="e">
        <f t="shared" si="56"/>
        <v>#VALUE!</v>
      </c>
      <c r="AB128" s="100" t="e">
        <f t="shared" si="57"/>
        <v>#VALUE!</v>
      </c>
      <c r="AC128" s="100" t="e">
        <f t="shared" si="58"/>
        <v>#VALUE!</v>
      </c>
      <c r="AD128" s="100" t="e">
        <f t="shared" si="59"/>
        <v>#VALUE!</v>
      </c>
      <c r="AE128" s="8" t="str">
        <f t="shared" si="60"/>
        <v/>
      </c>
      <c r="AF128" s="8" t="str">
        <f t="shared" si="61"/>
        <v/>
      </c>
      <c r="AG128" s="7" t="str">
        <f t="shared" si="62"/>
        <v>Good</v>
      </c>
      <c r="AI128" s="100">
        <f t="shared" si="32"/>
        <v>28.939966432999999</v>
      </c>
      <c r="AJ128" s="100">
        <f t="shared" si="33"/>
        <v>47.908194236</v>
      </c>
    </row>
    <row r="129" spans="1:36" x14ac:dyDescent="0.2">
      <c r="A129" s="8">
        <v>6.2069999999999999</v>
      </c>
      <c r="B129" s="100">
        <v>28.940198052</v>
      </c>
      <c r="C129" s="100">
        <v>47.907331851000002</v>
      </c>
      <c r="D129" s="101">
        <v>6206.5311548210966</v>
      </c>
      <c r="E129" s="42" t="str">
        <f t="shared" si="34"/>
        <v/>
      </c>
      <c r="F129" s="7" t="str">
        <f t="shared" si="35"/>
        <v/>
      </c>
      <c r="G129" s="100" t="str">
        <f t="shared" si="36"/>
        <v/>
      </c>
      <c r="H129" s="100" t="str">
        <f t="shared" si="37"/>
        <v/>
      </c>
      <c r="I129" s="100" t="str">
        <f t="shared" si="38"/>
        <v/>
      </c>
      <c r="J129" s="100" t="str">
        <f t="shared" si="39"/>
        <v/>
      </c>
      <c r="K129" s="102" t="str">
        <f t="shared" si="40"/>
        <v/>
      </c>
      <c r="L129" s="103" t="str">
        <f t="shared" si="41"/>
        <v/>
      </c>
      <c r="M129" s="103" t="str">
        <f t="shared" si="42"/>
        <v/>
      </c>
      <c r="N129" s="103" t="str">
        <f t="shared" si="43"/>
        <v/>
      </c>
      <c r="O129" s="103" t="str">
        <f t="shared" si="44"/>
        <v/>
      </c>
      <c r="P129" s="105" t="str">
        <f t="shared" si="45"/>
        <v/>
      </c>
      <c r="Q129" s="105" t="str">
        <f t="shared" si="46"/>
        <v/>
      </c>
      <c r="R129" s="104" t="str">
        <f t="shared" si="47"/>
        <v/>
      </c>
      <c r="S129" s="104" t="str">
        <f t="shared" si="48"/>
        <v/>
      </c>
      <c r="T129" s="105" t="str">
        <f t="shared" si="49"/>
        <v/>
      </c>
      <c r="U129" s="14" t="str">
        <f t="shared" si="50"/>
        <v/>
      </c>
      <c r="V129" s="14" t="str">
        <f t="shared" si="51"/>
        <v/>
      </c>
      <c r="W129" s="103" t="str">
        <f t="shared" si="52"/>
        <v/>
      </c>
      <c r="X129" s="103" t="str">
        <f t="shared" si="53"/>
        <v/>
      </c>
      <c r="Y129" s="100" t="str">
        <f t="shared" si="54"/>
        <v/>
      </c>
      <c r="Z129" s="100" t="str">
        <f t="shared" si="55"/>
        <v/>
      </c>
      <c r="AA129" s="100" t="e">
        <f t="shared" si="56"/>
        <v>#VALUE!</v>
      </c>
      <c r="AB129" s="100" t="e">
        <f t="shared" si="57"/>
        <v>#VALUE!</v>
      </c>
      <c r="AC129" s="100" t="e">
        <f t="shared" si="58"/>
        <v>#VALUE!</v>
      </c>
      <c r="AD129" s="100" t="e">
        <f t="shared" si="59"/>
        <v>#VALUE!</v>
      </c>
      <c r="AE129" s="8" t="str">
        <f t="shared" si="60"/>
        <v/>
      </c>
      <c r="AF129" s="8" t="str">
        <f t="shared" si="61"/>
        <v/>
      </c>
      <c r="AG129" s="7" t="str">
        <f t="shared" si="62"/>
        <v>Good</v>
      </c>
      <c r="AI129" s="100">
        <f t="shared" si="32"/>
        <v>28.940198052</v>
      </c>
      <c r="AJ129" s="100">
        <f t="shared" si="33"/>
        <v>47.907331851000002</v>
      </c>
    </row>
    <row r="130" spans="1:36" x14ac:dyDescent="0.2">
      <c r="A130" s="8">
        <v>6.2119999999999997</v>
      </c>
      <c r="B130" s="100">
        <v>28.940208675000001</v>
      </c>
      <c r="C130" s="100">
        <v>47.907276320000001</v>
      </c>
      <c r="D130" s="101">
        <v>6212.0581597807277</v>
      </c>
      <c r="E130" s="42" t="str">
        <f t="shared" si="34"/>
        <v/>
      </c>
      <c r="F130" s="7" t="str">
        <f t="shared" si="35"/>
        <v/>
      </c>
      <c r="G130" s="100" t="str">
        <f t="shared" si="36"/>
        <v/>
      </c>
      <c r="H130" s="100" t="str">
        <f t="shared" si="37"/>
        <v/>
      </c>
      <c r="I130" s="100" t="str">
        <f t="shared" si="38"/>
        <v/>
      </c>
      <c r="J130" s="100" t="str">
        <f t="shared" si="39"/>
        <v/>
      </c>
      <c r="K130" s="102" t="str">
        <f t="shared" si="40"/>
        <v/>
      </c>
      <c r="L130" s="103" t="str">
        <f t="shared" si="41"/>
        <v/>
      </c>
      <c r="M130" s="103" t="str">
        <f t="shared" si="42"/>
        <v/>
      </c>
      <c r="N130" s="103" t="str">
        <f t="shared" si="43"/>
        <v/>
      </c>
      <c r="O130" s="103" t="str">
        <f t="shared" si="44"/>
        <v/>
      </c>
      <c r="P130" s="105" t="str">
        <f t="shared" si="45"/>
        <v/>
      </c>
      <c r="Q130" s="105" t="str">
        <f t="shared" si="46"/>
        <v/>
      </c>
      <c r="R130" s="104" t="str">
        <f t="shared" si="47"/>
        <v/>
      </c>
      <c r="S130" s="104" t="str">
        <f t="shared" si="48"/>
        <v/>
      </c>
      <c r="T130" s="105" t="str">
        <f t="shared" si="49"/>
        <v/>
      </c>
      <c r="U130" s="14" t="str">
        <f t="shared" si="50"/>
        <v/>
      </c>
      <c r="V130" s="14" t="str">
        <f t="shared" si="51"/>
        <v/>
      </c>
      <c r="W130" s="103" t="str">
        <f t="shared" si="52"/>
        <v/>
      </c>
      <c r="X130" s="103" t="str">
        <f t="shared" si="53"/>
        <v/>
      </c>
      <c r="Y130" s="100" t="str">
        <f t="shared" si="54"/>
        <v/>
      </c>
      <c r="Z130" s="100" t="str">
        <f t="shared" si="55"/>
        <v/>
      </c>
      <c r="AA130" s="100" t="e">
        <f t="shared" si="56"/>
        <v>#VALUE!</v>
      </c>
      <c r="AB130" s="100" t="e">
        <f t="shared" si="57"/>
        <v>#VALUE!</v>
      </c>
      <c r="AC130" s="100" t="e">
        <f t="shared" si="58"/>
        <v>#VALUE!</v>
      </c>
      <c r="AD130" s="100" t="e">
        <f t="shared" si="59"/>
        <v>#VALUE!</v>
      </c>
      <c r="AE130" s="8" t="str">
        <f t="shared" si="60"/>
        <v/>
      </c>
      <c r="AF130" s="8" t="str">
        <f t="shared" si="61"/>
        <v/>
      </c>
      <c r="AG130" s="7" t="str">
        <f t="shared" si="62"/>
        <v>Good</v>
      </c>
      <c r="AI130" s="100">
        <f t="shared" si="32"/>
        <v>28.940208675000001</v>
      </c>
      <c r="AJ130" s="100">
        <f t="shared" si="33"/>
        <v>47.907276320000001</v>
      </c>
    </row>
    <row r="131" spans="1:36" x14ac:dyDescent="0.2">
      <c r="A131" s="8">
        <v>6.2969999999999997</v>
      </c>
      <c r="B131" s="100">
        <v>28.940427614000001</v>
      </c>
      <c r="C131" s="100">
        <v>47.906444047999997</v>
      </c>
      <c r="D131" s="101">
        <v>6296.5687689120687</v>
      </c>
      <c r="E131" s="42" t="str">
        <f t="shared" si="34"/>
        <v/>
      </c>
      <c r="F131" s="7" t="str">
        <f t="shared" si="35"/>
        <v/>
      </c>
      <c r="G131" s="100" t="str">
        <f t="shared" si="36"/>
        <v/>
      </c>
      <c r="H131" s="100" t="str">
        <f t="shared" si="37"/>
        <v/>
      </c>
      <c r="I131" s="100" t="str">
        <f t="shared" si="38"/>
        <v/>
      </c>
      <c r="J131" s="100" t="str">
        <f t="shared" si="39"/>
        <v/>
      </c>
      <c r="K131" s="102" t="str">
        <f t="shared" si="40"/>
        <v/>
      </c>
      <c r="L131" s="103" t="str">
        <f t="shared" si="41"/>
        <v/>
      </c>
      <c r="M131" s="103" t="str">
        <f t="shared" si="42"/>
        <v/>
      </c>
      <c r="N131" s="103" t="str">
        <f t="shared" si="43"/>
        <v/>
      </c>
      <c r="O131" s="103" t="str">
        <f t="shared" si="44"/>
        <v/>
      </c>
      <c r="P131" s="105" t="str">
        <f t="shared" si="45"/>
        <v/>
      </c>
      <c r="Q131" s="105" t="str">
        <f t="shared" si="46"/>
        <v/>
      </c>
      <c r="R131" s="104" t="str">
        <f t="shared" si="47"/>
        <v/>
      </c>
      <c r="S131" s="104" t="str">
        <f t="shared" si="48"/>
        <v/>
      </c>
      <c r="T131" s="105" t="str">
        <f t="shared" si="49"/>
        <v/>
      </c>
      <c r="U131" s="14" t="str">
        <f t="shared" si="50"/>
        <v/>
      </c>
      <c r="V131" s="14" t="str">
        <f t="shared" si="51"/>
        <v/>
      </c>
      <c r="W131" s="103" t="str">
        <f t="shared" si="52"/>
        <v/>
      </c>
      <c r="X131" s="103" t="str">
        <f t="shared" si="53"/>
        <v/>
      </c>
      <c r="Y131" s="100" t="str">
        <f t="shared" si="54"/>
        <v/>
      </c>
      <c r="Z131" s="100" t="str">
        <f t="shared" si="55"/>
        <v/>
      </c>
      <c r="AA131" s="100" t="e">
        <f t="shared" si="56"/>
        <v>#VALUE!</v>
      </c>
      <c r="AB131" s="100" t="e">
        <f t="shared" si="57"/>
        <v>#VALUE!</v>
      </c>
      <c r="AC131" s="100" t="e">
        <f t="shared" si="58"/>
        <v>#VALUE!</v>
      </c>
      <c r="AD131" s="100" t="e">
        <f t="shared" si="59"/>
        <v>#VALUE!</v>
      </c>
      <c r="AE131" s="8" t="str">
        <f t="shared" si="60"/>
        <v/>
      </c>
      <c r="AF131" s="8" t="str">
        <f t="shared" si="61"/>
        <v/>
      </c>
      <c r="AG131" s="7" t="str">
        <f t="shared" si="62"/>
        <v>Good</v>
      </c>
      <c r="AI131" s="100">
        <f t="shared" ref="AI131:AJ135" si="63">IF(B131="",Y131,B131)</f>
        <v>28.940427614000001</v>
      </c>
      <c r="AJ131" s="100">
        <f t="shared" si="63"/>
        <v>47.906444047999997</v>
      </c>
    </row>
    <row r="132" spans="1:36" x14ac:dyDescent="0.2">
      <c r="A132" s="8">
        <v>6.3019999999999996</v>
      </c>
      <c r="B132" s="100">
        <v>28.940439136999998</v>
      </c>
      <c r="C132" s="100">
        <v>47.906388884999998</v>
      </c>
      <c r="D132" s="101">
        <v>6302.0835468707728</v>
      </c>
      <c r="E132" s="42" t="str">
        <f>IF(F132=1,D132-D131,"")</f>
        <v/>
      </c>
      <c r="F132" s="7" t="str">
        <f>IF(C132="",1,"")</f>
        <v/>
      </c>
      <c r="G132" s="100" t="str">
        <f>IF(F132=1,IF(B131="",G131,B131),"")</f>
        <v/>
      </c>
      <c r="H132" s="100" t="str">
        <f>IF(F132=1,IF(C131="",H131,C131),"")</f>
        <v/>
      </c>
      <c r="I132" s="100" t="str">
        <f>IF(F132=1,IF(B133="",I133,B133),"")</f>
        <v/>
      </c>
      <c r="J132" s="100" t="str">
        <f>IF(F132=1,IF(C133="",J133,C133),"")</f>
        <v/>
      </c>
      <c r="K132" s="102" t="str">
        <f>IF(F132=1,utmzone_long(J132),"")</f>
        <v/>
      </c>
      <c r="L132" s="103" t="str">
        <f>IF(F132=1,northing(G132,H132),"")</f>
        <v/>
      </c>
      <c r="M132" s="103" t="str">
        <f>IF(F132=1,easting(G132,H132),"")</f>
        <v/>
      </c>
      <c r="N132" s="103" t="str">
        <f>IF(F132=1,northing(I132,J132),"")</f>
        <v/>
      </c>
      <c r="O132" s="103" t="str">
        <f>IF(F132=1,easting(I132,J132),"")</f>
        <v/>
      </c>
      <c r="P132" s="105" t="str">
        <f>IF(F132=1,N132-L132,"")</f>
        <v/>
      </c>
      <c r="Q132" s="105" t="str">
        <f>IF(F132=1,O132-M132,"")</f>
        <v/>
      </c>
      <c r="R132" s="104" t="str">
        <f>IF(F132=1,SQRT(ABS(L132-N132)^2+ABS(M132-O132)^2),"")</f>
        <v/>
      </c>
      <c r="S132" s="104" t="str">
        <f>IF(F132=1,IF(N132&lt;L132,"S","N") &amp; IF(O132&lt;M132,"W","E"),"")</f>
        <v/>
      </c>
      <c r="T132" s="105" t="str">
        <f>IF(F132=1,ABS(ATAN((P132)/Q132)),"")</f>
        <v/>
      </c>
      <c r="U132" s="14" t="str">
        <f>IF(F132=1,IF(Q132&lt;0,-1*COS(T132)*E132,COS(T132)*E132),"")</f>
        <v/>
      </c>
      <c r="V132" s="14" t="str">
        <f>IF(F132=1,IF(P132&lt;0,-1*SIN(T132)*E132,SIN(T132)*E132),"")</f>
        <v/>
      </c>
      <c r="W132" s="103" t="str">
        <f>IF(F132=1,V132+L132,"")</f>
        <v/>
      </c>
      <c r="X132" s="103" t="str">
        <f>IF(F132=1,U132+M132,"")</f>
        <v/>
      </c>
      <c r="Y132" s="100" t="str">
        <f>IF(F132=1,latitude(K132,W132,X132),"")</f>
        <v/>
      </c>
      <c r="Z132" s="100" t="str">
        <f>IF(F132=1,longitude(K132,W132,X132),"")</f>
        <v/>
      </c>
      <c r="AA132" s="100" t="e">
        <f>B131-Y132</f>
        <v>#VALUE!</v>
      </c>
      <c r="AB132" s="100" t="e">
        <f>Y132-B133</f>
        <v>#VALUE!</v>
      </c>
      <c r="AC132" s="100" t="e">
        <f>C131-Z132</f>
        <v>#VALUE!</v>
      </c>
      <c r="AD132" s="100" t="e">
        <f>Z132-C133</f>
        <v>#VALUE!</v>
      </c>
      <c r="AE132" s="8" t="str">
        <f t="shared" ref="AE132:AE195" si="64">IF(E132="","",IF(OR(AND(AA132&gt;0,AB132&gt;0),AND(AA132&lt;0,AB132&lt;0)),"Good",""))</f>
        <v/>
      </c>
      <c r="AF132" s="8" t="str">
        <f t="shared" ref="AF132:AF195" si="65">IF(E132="","",IF(OR(AND(AC132&gt;0,AD132&gt;0),AND(AC132&lt;0,AD132&lt;0)),"Good",""))</f>
        <v/>
      </c>
      <c r="AG132" s="7" t="str">
        <f>IF(F132=1,IF(AND(AE132="Good",AF132="Good"),"Good",""),"Good")</f>
        <v>Good</v>
      </c>
      <c r="AI132" s="100">
        <f t="shared" si="63"/>
        <v>28.940439136999998</v>
      </c>
      <c r="AJ132" s="100">
        <f t="shared" si="63"/>
        <v>47.906388884999998</v>
      </c>
    </row>
    <row r="133" spans="1:36" x14ac:dyDescent="0.2">
      <c r="A133" s="8">
        <v>6.3070000000000004</v>
      </c>
      <c r="B133" s="100">
        <v>28.940447663</v>
      </c>
      <c r="C133" s="100">
        <v>47.906342948999999</v>
      </c>
      <c r="D133" s="101">
        <v>6306.6501887180402</v>
      </c>
      <c r="E133" s="42" t="str">
        <f>IF(F133=1,D133-D132,"")</f>
        <v/>
      </c>
      <c r="F133" s="7" t="str">
        <f>IF(C133="",1,"")</f>
        <v/>
      </c>
      <c r="G133" s="100" t="str">
        <f>IF(F133=1,IF(B132="",G132,B132),"")</f>
        <v/>
      </c>
      <c r="H133" s="100" t="str">
        <f>IF(F133=1,IF(C132="",H132,C132),"")</f>
        <v/>
      </c>
      <c r="I133" s="100" t="str">
        <f>IF(F133=1,IF(B134="",I134,B134),"")</f>
        <v/>
      </c>
      <c r="J133" s="100" t="str">
        <f>IF(F133=1,IF(C134="",J134,C134),"")</f>
        <v/>
      </c>
      <c r="K133" s="102" t="str">
        <f>IF(F133=1,utmzone_long(J133),"")</f>
        <v/>
      </c>
      <c r="L133" s="103" t="str">
        <f>IF(F133=1,northing(G133,H133),"")</f>
        <v/>
      </c>
      <c r="M133" s="103" t="str">
        <f>IF(F133=1,easting(G133,H133),"")</f>
        <v/>
      </c>
      <c r="N133" s="103" t="str">
        <f>IF(F133=1,northing(I133,J133),"")</f>
        <v/>
      </c>
      <c r="O133" s="103" t="str">
        <f>IF(F133=1,easting(I133,J133),"")</f>
        <v/>
      </c>
      <c r="P133" s="105" t="str">
        <f>IF(F133=1,N133-L133,"")</f>
        <v/>
      </c>
      <c r="Q133" s="105" t="str">
        <f>IF(F133=1,O133-M133,"")</f>
        <v/>
      </c>
      <c r="R133" s="104" t="str">
        <f>IF(F133=1,SQRT(ABS(L133-N133)^2+ABS(M133-O133)^2),"")</f>
        <v/>
      </c>
      <c r="S133" s="104" t="str">
        <f>IF(F133=1,IF(N133&lt;L133,"S","N") &amp; IF(O133&lt;M133,"W","E"),"")</f>
        <v/>
      </c>
      <c r="T133" s="105" t="str">
        <f>IF(F133=1,ABS(ATAN((P133)/Q133)),"")</f>
        <v/>
      </c>
      <c r="U133" s="14" t="str">
        <f>IF(F133=1,IF(Q133&lt;0,-1*COS(T133)*E133,COS(T133)*E133),"")</f>
        <v/>
      </c>
      <c r="V133" s="14" t="str">
        <f>IF(F133=1,IF(P133&lt;0,-1*SIN(T133)*E133,SIN(T133)*E133),"")</f>
        <v/>
      </c>
      <c r="W133" s="103" t="str">
        <f>IF(F133=1,V133+L133,"")</f>
        <v/>
      </c>
      <c r="X133" s="103" t="str">
        <f>IF(F133=1,U133+M133,"")</f>
        <v/>
      </c>
      <c r="Y133" s="100" t="str">
        <f>IF(F133=1,latitude(K133,W133,X133),"")</f>
        <v/>
      </c>
      <c r="Z133" s="100" t="str">
        <f>IF(F133=1,longitude(K133,W133,X133),"")</f>
        <v/>
      </c>
      <c r="AA133" s="100" t="e">
        <f>B132-Y133</f>
        <v>#VALUE!</v>
      </c>
      <c r="AB133" s="100" t="e">
        <f>Y133-B134</f>
        <v>#VALUE!</v>
      </c>
      <c r="AC133" s="100" t="e">
        <f>C132-Z133</f>
        <v>#VALUE!</v>
      </c>
      <c r="AD133" s="100" t="e">
        <f>Z133-C134</f>
        <v>#VALUE!</v>
      </c>
      <c r="AE133" s="8" t="str">
        <f t="shared" si="64"/>
        <v/>
      </c>
      <c r="AF133" s="8" t="str">
        <f t="shared" si="65"/>
        <v/>
      </c>
      <c r="AG133" s="7" t="str">
        <f>IF(F133=1,IF(AND(AE133="Good",AF133="Good"),"Good",""),"Good")</f>
        <v>Good</v>
      </c>
      <c r="AI133" s="100">
        <f t="shared" si="63"/>
        <v>28.940447663</v>
      </c>
      <c r="AJ133" s="100">
        <f t="shared" si="63"/>
        <v>47.906342948999999</v>
      </c>
    </row>
    <row r="134" spans="1:36" x14ac:dyDescent="0.2">
      <c r="A134" s="8">
        <v>6.407</v>
      </c>
      <c r="B134" s="100">
        <v>28.940709777999999</v>
      </c>
      <c r="C134" s="100">
        <v>47.90536032</v>
      </c>
      <c r="D134" s="101">
        <v>6406.5446816256945</v>
      </c>
      <c r="E134" s="42" t="str">
        <f>IF(F134=1,D134-D133,"")</f>
        <v/>
      </c>
      <c r="F134" s="7" t="str">
        <f>IF(C134="",1,"")</f>
        <v/>
      </c>
      <c r="G134" s="100" t="str">
        <f>IF(F134=1,IF(B133="",G133,B133),"")</f>
        <v/>
      </c>
      <c r="H134" s="100" t="str">
        <f>IF(F134=1,IF(C133="",H133,C133),"")</f>
        <v/>
      </c>
      <c r="I134" s="100" t="str">
        <f>IF(F134=1,IF(B135="",I135,B135),"")</f>
        <v/>
      </c>
      <c r="J134" s="100" t="str">
        <f>IF(F134=1,IF(C135="",J135,C135),"")</f>
        <v/>
      </c>
      <c r="K134" s="102" t="str">
        <f>IF(F134=1,utmzone_long(J134),"")</f>
        <v/>
      </c>
      <c r="L134" s="103" t="str">
        <f>IF(F134=1,northing(G134,H134),"")</f>
        <v/>
      </c>
      <c r="M134" s="103" t="str">
        <f>IF(F134=1,easting(G134,H134),"")</f>
        <v/>
      </c>
      <c r="N134" s="103" t="str">
        <f>IF(F134=1,northing(I134,J134),"")</f>
        <v/>
      </c>
      <c r="O134" s="103" t="str">
        <f>IF(F134=1,easting(I134,J134),"")</f>
        <v/>
      </c>
      <c r="P134" s="105" t="str">
        <f>IF(F134=1,N134-L134,"")</f>
        <v/>
      </c>
      <c r="Q134" s="105" t="str">
        <f>IF(F134=1,O134-M134,"")</f>
        <v/>
      </c>
      <c r="R134" s="104" t="str">
        <f>IF(F134=1,SQRT(ABS(L134-N134)^2+ABS(M134-O134)^2),"")</f>
        <v/>
      </c>
      <c r="S134" s="104" t="str">
        <f>IF(F134=1,IF(N134&lt;L134,"S","N") &amp; IF(O134&lt;M134,"W","E"),"")</f>
        <v/>
      </c>
      <c r="T134" s="105" t="str">
        <f>IF(F134=1,ABS(ATAN((P134)/Q134)),"")</f>
        <v/>
      </c>
      <c r="U134" s="14" t="str">
        <f>IF(F134=1,IF(Q134&lt;0,-1*COS(T134)*E134,COS(T134)*E134),"")</f>
        <v/>
      </c>
      <c r="V134" s="14" t="str">
        <f>IF(F134=1,IF(P134&lt;0,-1*SIN(T134)*E134,SIN(T134)*E134),"")</f>
        <v/>
      </c>
      <c r="W134" s="103" t="str">
        <f>IF(F134=1,V134+L134,"")</f>
        <v/>
      </c>
      <c r="X134" s="103" t="str">
        <f>IF(F134=1,U134+M134,"")</f>
        <v/>
      </c>
      <c r="Y134" s="100" t="str">
        <f>IF(F134=1,latitude(K134,W134,X134),"")</f>
        <v/>
      </c>
      <c r="Z134" s="100" t="str">
        <f>IF(F134=1,longitude(K134,W134,X134),"")</f>
        <v/>
      </c>
      <c r="AA134" s="100" t="e">
        <f>B133-Y134</f>
        <v>#VALUE!</v>
      </c>
      <c r="AB134" s="100" t="e">
        <f>Y134-B135</f>
        <v>#VALUE!</v>
      </c>
      <c r="AC134" s="100" t="e">
        <f>C133-Z134</f>
        <v>#VALUE!</v>
      </c>
      <c r="AD134" s="100" t="e">
        <f>Z134-C135</f>
        <v>#VALUE!</v>
      </c>
      <c r="AE134" s="8" t="str">
        <f t="shared" si="64"/>
        <v/>
      </c>
      <c r="AF134" s="8" t="str">
        <f t="shared" si="65"/>
        <v/>
      </c>
      <c r="AG134" s="7" t="str">
        <f>IF(F134=1,IF(AND(AE134="Good",AF134="Good"),"Good",""),"Good")</f>
        <v>Good</v>
      </c>
      <c r="AI134" s="100">
        <f t="shared" si="63"/>
        <v>28.940709777999999</v>
      </c>
      <c r="AJ134" s="100">
        <f t="shared" si="63"/>
        <v>47.90536032</v>
      </c>
    </row>
    <row r="135" spans="1:36" x14ac:dyDescent="0.2">
      <c r="A135" s="8">
        <v>6.4729999999999999</v>
      </c>
      <c r="B135" s="100">
        <v>28.940880146000001</v>
      </c>
      <c r="C135" s="100">
        <v>47.904702813999997</v>
      </c>
      <c r="D135" s="101">
        <v>6473.2263106353912</v>
      </c>
      <c r="E135" s="42" t="str">
        <f>IF(F135=1,D135-D134,"")</f>
        <v/>
      </c>
      <c r="F135" s="7" t="str">
        <f>IF(C135="",1,"")</f>
        <v/>
      </c>
      <c r="G135" s="100" t="str">
        <f>IF(F135=1,IF(B134="",G134,B134),"")</f>
        <v/>
      </c>
      <c r="H135" s="100" t="str">
        <f>IF(F135=1,IF(C134="",H134,C134),"")</f>
        <v/>
      </c>
      <c r="I135" s="100" t="str">
        <f>IF(F135=1,IF(B136="",I136,B136),"")</f>
        <v/>
      </c>
      <c r="J135" s="100" t="str">
        <f>IF(F135=1,IF(C136="",J136,C136),"")</f>
        <v/>
      </c>
      <c r="K135" s="102" t="str">
        <f>IF(F135=1,utmzone_long(J135),"")</f>
        <v/>
      </c>
      <c r="L135" s="103" t="str">
        <f>IF(F135=1,northing(G135,H135),"")</f>
        <v/>
      </c>
      <c r="M135" s="103" t="str">
        <f>IF(F135=1,easting(G135,H135),"")</f>
        <v/>
      </c>
      <c r="N135" s="103" t="str">
        <f>IF(F135=1,northing(I135,J135),"")</f>
        <v/>
      </c>
      <c r="O135" s="103" t="str">
        <f>IF(F135=1,easting(I135,J135),"")</f>
        <v/>
      </c>
      <c r="P135" s="105" t="str">
        <f>IF(F135=1,N135-L135,"")</f>
        <v/>
      </c>
      <c r="Q135" s="105" t="str">
        <f>IF(F135=1,O135-M135,"")</f>
        <v/>
      </c>
      <c r="R135" s="104" t="str">
        <f>IF(F135=1,SQRT(ABS(L135-N135)^2+ABS(M135-O135)^2),"")</f>
        <v/>
      </c>
      <c r="S135" s="104" t="str">
        <f>IF(F135=1,IF(N135&lt;L135,"S","N") &amp; IF(O135&lt;M135,"W","E"),"")</f>
        <v/>
      </c>
      <c r="T135" s="105" t="str">
        <f>IF(F135=1,ABS(ATAN((P135)/Q135)),"")</f>
        <v/>
      </c>
      <c r="U135" s="14" t="str">
        <f>IF(F135=1,IF(Q135&lt;0,-1*COS(T135)*E135,COS(T135)*E135),"")</f>
        <v/>
      </c>
      <c r="V135" s="14" t="str">
        <f>IF(F135=1,IF(P135&lt;0,-1*SIN(T135)*E135,SIN(T135)*E135),"")</f>
        <v/>
      </c>
      <c r="W135" s="103" t="str">
        <f>IF(F135=1,V135+L135,"")</f>
        <v/>
      </c>
      <c r="X135" s="103" t="str">
        <f>IF(F135=1,U135+M135,"")</f>
        <v/>
      </c>
      <c r="Y135" s="100" t="str">
        <f>IF(F135=1,latitude(K135,W135,X135),"")</f>
        <v/>
      </c>
      <c r="Z135" s="100" t="str">
        <f>IF(F135=1,longitude(K135,W135,X135),"")</f>
        <v/>
      </c>
      <c r="AA135" s="100" t="e">
        <f>B134-Y135</f>
        <v>#VALUE!</v>
      </c>
      <c r="AB135" s="100" t="e">
        <f>Y135-B136</f>
        <v>#VALUE!</v>
      </c>
      <c r="AC135" s="100" t="e">
        <f>C134-Z135</f>
        <v>#VALUE!</v>
      </c>
      <c r="AD135" s="100" t="e">
        <f>Z135-C136</f>
        <v>#VALUE!</v>
      </c>
      <c r="AE135" s="8" t="str">
        <f t="shared" si="64"/>
        <v/>
      </c>
      <c r="AF135" s="8" t="str">
        <f t="shared" si="65"/>
        <v/>
      </c>
      <c r="AG135" s="7" t="str">
        <f>IF(F135=1,IF(AND(AE135="Good",AF135="Good"),"Good",""),"Good")</f>
        <v>Good</v>
      </c>
      <c r="AI135" s="100">
        <f t="shared" si="63"/>
        <v>28.940880146000001</v>
      </c>
      <c r="AJ135" s="100">
        <f t="shared" si="63"/>
        <v>47.904702813999997</v>
      </c>
    </row>
    <row r="136" spans="1:36" x14ac:dyDescent="0.2">
      <c r="A136" s="8">
        <v>6.5209999999999999</v>
      </c>
      <c r="B136" s="100">
        <v>28.941020366</v>
      </c>
      <c r="C136" s="100">
        <v>47.904238268999997</v>
      </c>
      <c r="D136" s="101">
        <v>6521.0116885279185</v>
      </c>
      <c r="E136" s="42" t="str">
        <f t="shared" ref="E136:E199" si="66">IF(F136=1,D136-D135,"")</f>
        <v/>
      </c>
      <c r="F136" s="7" t="str">
        <f t="shared" ref="F136:F199" si="67">IF(C136="",1,"")</f>
        <v/>
      </c>
      <c r="G136" s="100" t="str">
        <f t="shared" ref="G136:G199" si="68">IF(F136=1,IF(B135="",G135,B135),"")</f>
        <v/>
      </c>
      <c r="H136" s="100" t="str">
        <f t="shared" ref="H136:H199" si="69">IF(F136=1,IF(C135="",H135,C135),"")</f>
        <v/>
      </c>
      <c r="I136" s="100" t="str">
        <f t="shared" ref="I136:I199" si="70">IF(F136=1,IF(B137="",I137,B137),"")</f>
        <v/>
      </c>
      <c r="J136" s="100" t="str">
        <f t="shared" ref="J136:J199" si="71">IF(F136=1,IF(C137="",J137,C137),"")</f>
        <v/>
      </c>
      <c r="K136" s="102" t="str">
        <f t="shared" ref="K136:K199" si="72">IF(F136=1,utmzone_long(J136),"")</f>
        <v/>
      </c>
      <c r="L136" s="103" t="str">
        <f t="shared" ref="L136:L199" si="73">IF(F136=1,northing(G136,H136),"")</f>
        <v/>
      </c>
      <c r="M136" s="103" t="str">
        <f t="shared" ref="M136:M199" si="74">IF(F136=1,easting(G136,H136),"")</f>
        <v/>
      </c>
      <c r="N136" s="103" t="str">
        <f t="shared" ref="N136:N199" si="75">IF(F136=1,northing(I136,J136),"")</f>
        <v/>
      </c>
      <c r="O136" s="103" t="str">
        <f t="shared" ref="O136:O199" si="76">IF(F136=1,easting(I136,J136),"")</f>
        <v/>
      </c>
      <c r="P136" s="105" t="str">
        <f t="shared" ref="P136:P199" si="77">IF(F136=1,N136-L136,"")</f>
        <v/>
      </c>
      <c r="Q136" s="105" t="str">
        <f t="shared" ref="Q136:Q199" si="78">IF(F136=1,O136-M136,"")</f>
        <v/>
      </c>
      <c r="R136" s="104" t="str">
        <f t="shared" ref="R136:R199" si="79">IF(F136=1,SQRT(ABS(L136-N136)^2+ABS(M136-O136)^2),"")</f>
        <v/>
      </c>
      <c r="S136" s="104" t="str">
        <f t="shared" ref="S136:S199" si="80">IF(F136=1,IF(N136&lt;L136,"S","N") &amp; IF(O136&lt;M136,"W","E"),"")</f>
        <v/>
      </c>
      <c r="T136" s="105" t="str">
        <f t="shared" ref="T136:T199" si="81">IF(F136=1,ABS(ATAN((P136)/Q136)),"")</f>
        <v/>
      </c>
      <c r="U136" s="14" t="str">
        <f t="shared" ref="U136:U199" si="82">IF(F136=1,IF(Q136&lt;0,-1*COS(T136)*E136,COS(T136)*E136),"")</f>
        <v/>
      </c>
      <c r="V136" s="14" t="str">
        <f t="shared" ref="V136:V199" si="83">IF(F136=1,IF(P136&lt;0,-1*SIN(T136)*E136,SIN(T136)*E136),"")</f>
        <v/>
      </c>
      <c r="W136" s="103" t="str">
        <f t="shared" ref="W136:W199" si="84">IF(F136=1,V136+L136,"")</f>
        <v/>
      </c>
      <c r="X136" s="103" t="str">
        <f t="shared" ref="X136:X199" si="85">IF(F136=1,U136+M136,"")</f>
        <v/>
      </c>
      <c r="Y136" s="100" t="str">
        <f t="shared" ref="Y136:Y199" si="86">IF(F136=1,latitude(K136,W136,X136),"")</f>
        <v/>
      </c>
      <c r="Z136" s="100" t="str">
        <f t="shared" ref="Z136:Z199" si="87">IF(F136=1,longitude(K136,W136,X136),"")</f>
        <v/>
      </c>
      <c r="AA136" s="100" t="e">
        <f t="shared" ref="AA136:AA199" si="88">B135-Y136</f>
        <v>#VALUE!</v>
      </c>
      <c r="AB136" s="100" t="e">
        <f t="shared" ref="AB136:AB199" si="89">Y136-B137</f>
        <v>#VALUE!</v>
      </c>
      <c r="AC136" s="100" t="e">
        <f t="shared" ref="AC136:AC199" si="90">C135-Z136</f>
        <v>#VALUE!</v>
      </c>
      <c r="AD136" s="100" t="e">
        <f t="shared" ref="AD136:AD199" si="91">Z136-C137</f>
        <v>#VALUE!</v>
      </c>
      <c r="AE136" s="8" t="str">
        <f t="shared" si="64"/>
        <v/>
      </c>
      <c r="AF136" s="8" t="str">
        <f t="shared" si="65"/>
        <v/>
      </c>
      <c r="AG136" s="7" t="str">
        <f t="shared" ref="AG136:AG199" si="92">IF(F136=1,IF(AND(AE136="Good",AF136="Good"),"Good",""),"Good")</f>
        <v>Good</v>
      </c>
      <c r="AI136" s="100">
        <f t="shared" ref="AI136:AI199" si="93">IF(B136="",Y136,B136)</f>
        <v>28.941020366</v>
      </c>
      <c r="AJ136" s="100">
        <f t="shared" ref="AJ136:AJ199" si="94">IF(C136="",Z136,C136)</f>
        <v>47.904238268999997</v>
      </c>
    </row>
    <row r="137" spans="1:36" x14ac:dyDescent="0.2">
      <c r="A137" s="8">
        <v>6.524</v>
      </c>
      <c r="B137" s="100">
        <v>28.940999576999999</v>
      </c>
      <c r="C137" s="100">
        <v>47.904227067999997</v>
      </c>
      <c r="D137" s="101">
        <v>6523.5661710672894</v>
      </c>
      <c r="E137" s="42" t="str">
        <f t="shared" si="66"/>
        <v/>
      </c>
      <c r="F137" s="7" t="str">
        <f t="shared" si="67"/>
        <v/>
      </c>
      <c r="G137" s="100" t="str">
        <f t="shared" si="68"/>
        <v/>
      </c>
      <c r="H137" s="100" t="str">
        <f t="shared" si="69"/>
        <v/>
      </c>
      <c r="I137" s="100" t="str">
        <f t="shared" si="70"/>
        <v/>
      </c>
      <c r="J137" s="100" t="str">
        <f t="shared" si="71"/>
        <v/>
      </c>
      <c r="K137" s="102" t="str">
        <f t="shared" si="72"/>
        <v/>
      </c>
      <c r="L137" s="103" t="str">
        <f t="shared" si="73"/>
        <v/>
      </c>
      <c r="M137" s="103" t="str">
        <f t="shared" si="74"/>
        <v/>
      </c>
      <c r="N137" s="103" t="str">
        <f t="shared" si="75"/>
        <v/>
      </c>
      <c r="O137" s="103" t="str">
        <f t="shared" si="76"/>
        <v/>
      </c>
      <c r="P137" s="105" t="str">
        <f t="shared" si="77"/>
        <v/>
      </c>
      <c r="Q137" s="105" t="str">
        <f t="shared" si="78"/>
        <v/>
      </c>
      <c r="R137" s="104" t="str">
        <f t="shared" si="79"/>
        <v/>
      </c>
      <c r="S137" s="104" t="str">
        <f t="shared" si="80"/>
        <v/>
      </c>
      <c r="T137" s="105" t="str">
        <f t="shared" si="81"/>
        <v/>
      </c>
      <c r="U137" s="14" t="str">
        <f t="shared" si="82"/>
        <v/>
      </c>
      <c r="V137" s="14" t="str">
        <f t="shared" si="83"/>
        <v/>
      </c>
      <c r="W137" s="103" t="str">
        <f t="shared" si="84"/>
        <v/>
      </c>
      <c r="X137" s="103" t="str">
        <f t="shared" si="85"/>
        <v/>
      </c>
      <c r="Y137" s="100" t="str">
        <f t="shared" si="86"/>
        <v/>
      </c>
      <c r="Z137" s="100" t="str">
        <f t="shared" si="87"/>
        <v/>
      </c>
      <c r="AA137" s="100" t="e">
        <f t="shared" si="88"/>
        <v>#VALUE!</v>
      </c>
      <c r="AB137" s="100" t="e">
        <f t="shared" si="89"/>
        <v>#VALUE!</v>
      </c>
      <c r="AC137" s="100" t="e">
        <f t="shared" si="90"/>
        <v>#VALUE!</v>
      </c>
      <c r="AD137" s="100" t="e">
        <f t="shared" si="91"/>
        <v>#VALUE!</v>
      </c>
      <c r="AE137" s="8" t="str">
        <f t="shared" si="64"/>
        <v/>
      </c>
      <c r="AF137" s="8" t="str">
        <f t="shared" si="65"/>
        <v/>
      </c>
      <c r="AG137" s="7" t="str">
        <f t="shared" si="92"/>
        <v>Good</v>
      </c>
      <c r="AI137" s="100">
        <f t="shared" si="93"/>
        <v>28.940999576999999</v>
      </c>
      <c r="AJ137" s="100">
        <f t="shared" si="94"/>
        <v>47.904227067999997</v>
      </c>
    </row>
    <row r="138" spans="1:36" x14ac:dyDescent="0.2">
      <c r="A138" s="8">
        <v>6.8330000000000002</v>
      </c>
      <c r="B138" s="100">
        <v>28.941805923</v>
      </c>
      <c r="C138" s="100">
        <v>47.901181723999997</v>
      </c>
      <c r="D138" s="101">
        <v>6832.9615117828635</v>
      </c>
      <c r="E138" s="42" t="str">
        <f t="shared" si="66"/>
        <v/>
      </c>
      <c r="F138" s="7" t="str">
        <f t="shared" si="67"/>
        <v/>
      </c>
      <c r="G138" s="100" t="str">
        <f t="shared" si="68"/>
        <v/>
      </c>
      <c r="H138" s="100" t="str">
        <f t="shared" si="69"/>
        <v/>
      </c>
      <c r="I138" s="100" t="str">
        <f t="shared" si="70"/>
        <v/>
      </c>
      <c r="J138" s="100" t="str">
        <f t="shared" si="71"/>
        <v/>
      </c>
      <c r="K138" s="102" t="str">
        <f t="shared" si="72"/>
        <v/>
      </c>
      <c r="L138" s="103" t="str">
        <f t="shared" si="73"/>
        <v/>
      </c>
      <c r="M138" s="103" t="str">
        <f t="shared" si="74"/>
        <v/>
      </c>
      <c r="N138" s="103" t="str">
        <f t="shared" si="75"/>
        <v/>
      </c>
      <c r="O138" s="103" t="str">
        <f t="shared" si="76"/>
        <v/>
      </c>
      <c r="P138" s="105" t="str">
        <f t="shared" si="77"/>
        <v/>
      </c>
      <c r="Q138" s="105" t="str">
        <f t="shared" si="78"/>
        <v/>
      </c>
      <c r="R138" s="104" t="str">
        <f t="shared" si="79"/>
        <v/>
      </c>
      <c r="S138" s="104" t="str">
        <f t="shared" si="80"/>
        <v/>
      </c>
      <c r="T138" s="105" t="str">
        <f t="shared" si="81"/>
        <v/>
      </c>
      <c r="U138" s="14" t="str">
        <f t="shared" si="82"/>
        <v/>
      </c>
      <c r="V138" s="14" t="str">
        <f t="shared" si="83"/>
        <v/>
      </c>
      <c r="W138" s="103" t="str">
        <f t="shared" si="84"/>
        <v/>
      </c>
      <c r="X138" s="103" t="str">
        <f t="shared" si="85"/>
        <v/>
      </c>
      <c r="Y138" s="100" t="str">
        <f t="shared" si="86"/>
        <v/>
      </c>
      <c r="Z138" s="100" t="str">
        <f t="shared" si="87"/>
        <v/>
      </c>
      <c r="AA138" s="100" t="e">
        <f t="shared" si="88"/>
        <v>#VALUE!</v>
      </c>
      <c r="AB138" s="100" t="e">
        <f t="shared" si="89"/>
        <v>#VALUE!</v>
      </c>
      <c r="AC138" s="100" t="e">
        <f t="shared" si="90"/>
        <v>#VALUE!</v>
      </c>
      <c r="AD138" s="100" t="e">
        <f t="shared" si="91"/>
        <v>#VALUE!</v>
      </c>
      <c r="AE138" s="8" t="str">
        <f t="shared" si="64"/>
        <v/>
      </c>
      <c r="AF138" s="8" t="str">
        <f t="shared" si="65"/>
        <v/>
      </c>
      <c r="AG138" s="7" t="str">
        <f t="shared" si="92"/>
        <v>Good</v>
      </c>
      <c r="AI138" s="100">
        <f t="shared" si="93"/>
        <v>28.941805923</v>
      </c>
      <c r="AJ138" s="100">
        <f t="shared" si="94"/>
        <v>47.901181723999997</v>
      </c>
    </row>
    <row r="139" spans="1:36" x14ac:dyDescent="0.2">
      <c r="A139" s="8">
        <v>7.0190000000000001</v>
      </c>
      <c r="B139" s="100">
        <v>28.942275448</v>
      </c>
      <c r="C139" s="100">
        <v>47.899341634999999</v>
      </c>
      <c r="D139" s="101">
        <v>7019.3465744629548</v>
      </c>
      <c r="E139" s="42" t="str">
        <f t="shared" si="66"/>
        <v/>
      </c>
      <c r="F139" s="7" t="str">
        <f t="shared" si="67"/>
        <v/>
      </c>
      <c r="G139" s="100" t="str">
        <f t="shared" si="68"/>
        <v/>
      </c>
      <c r="H139" s="100" t="str">
        <f t="shared" si="69"/>
        <v/>
      </c>
      <c r="I139" s="100" t="str">
        <f t="shared" si="70"/>
        <v/>
      </c>
      <c r="J139" s="100" t="str">
        <f t="shared" si="71"/>
        <v/>
      </c>
      <c r="K139" s="102" t="str">
        <f t="shared" si="72"/>
        <v/>
      </c>
      <c r="L139" s="103" t="str">
        <f t="shared" si="73"/>
        <v/>
      </c>
      <c r="M139" s="103" t="str">
        <f t="shared" si="74"/>
        <v/>
      </c>
      <c r="N139" s="103" t="str">
        <f t="shared" si="75"/>
        <v/>
      </c>
      <c r="O139" s="103" t="str">
        <f t="shared" si="76"/>
        <v/>
      </c>
      <c r="P139" s="105" t="str">
        <f t="shared" si="77"/>
        <v/>
      </c>
      <c r="Q139" s="105" t="str">
        <f t="shared" si="78"/>
        <v/>
      </c>
      <c r="R139" s="104" t="str">
        <f t="shared" si="79"/>
        <v/>
      </c>
      <c r="S139" s="104" t="str">
        <f t="shared" si="80"/>
        <v/>
      </c>
      <c r="T139" s="105" t="str">
        <f t="shared" si="81"/>
        <v/>
      </c>
      <c r="U139" s="14" t="str">
        <f t="shared" si="82"/>
        <v/>
      </c>
      <c r="V139" s="14" t="str">
        <f t="shared" si="83"/>
        <v/>
      </c>
      <c r="W139" s="103" t="str">
        <f t="shared" si="84"/>
        <v/>
      </c>
      <c r="X139" s="103" t="str">
        <f t="shared" si="85"/>
        <v/>
      </c>
      <c r="Y139" s="100" t="str">
        <f t="shared" si="86"/>
        <v/>
      </c>
      <c r="Z139" s="100" t="str">
        <f t="shared" si="87"/>
        <v/>
      </c>
      <c r="AA139" s="100" t="e">
        <f t="shared" si="88"/>
        <v>#VALUE!</v>
      </c>
      <c r="AB139" s="100" t="e">
        <f t="shared" si="89"/>
        <v>#VALUE!</v>
      </c>
      <c r="AC139" s="100" t="e">
        <f t="shared" si="90"/>
        <v>#VALUE!</v>
      </c>
      <c r="AD139" s="100" t="e">
        <f t="shared" si="91"/>
        <v>#VALUE!</v>
      </c>
      <c r="AE139" s="8" t="str">
        <f t="shared" si="64"/>
        <v/>
      </c>
      <c r="AF139" s="8" t="str">
        <f t="shared" si="65"/>
        <v/>
      </c>
      <c r="AG139" s="7" t="str">
        <f t="shared" si="92"/>
        <v>Good</v>
      </c>
      <c r="AI139" s="100">
        <f t="shared" si="93"/>
        <v>28.942275448</v>
      </c>
      <c r="AJ139" s="100">
        <f t="shared" si="94"/>
        <v>47.899341634999999</v>
      </c>
    </row>
    <row r="140" spans="1:36" x14ac:dyDescent="0.2">
      <c r="A140" s="8">
        <v>7.0880000000000001</v>
      </c>
      <c r="D140" s="101">
        <v>7088</v>
      </c>
      <c r="E140" s="42">
        <f t="shared" si="66"/>
        <v>68.653425537045223</v>
      </c>
      <c r="F140" s="7">
        <f t="shared" si="67"/>
        <v>1</v>
      </c>
      <c r="G140" s="100">
        <f t="shared" si="68"/>
        <v>28.942275448</v>
      </c>
      <c r="H140" s="100">
        <f t="shared" si="69"/>
        <v>47.899341634999999</v>
      </c>
      <c r="I140" s="100">
        <f t="shared" si="70"/>
        <v>28.942451161000001</v>
      </c>
      <c r="J140" s="100">
        <f t="shared" si="71"/>
        <v>47.898653037999999</v>
      </c>
      <c r="K140" s="102">
        <f t="shared" si="72"/>
        <v>38</v>
      </c>
      <c r="L140" s="103">
        <f t="shared" si="73"/>
        <v>3205052.5479555079</v>
      </c>
      <c r="M140" s="103">
        <f t="shared" si="74"/>
        <v>782617.01389095909</v>
      </c>
      <c r="N140" s="103">
        <f t="shared" si="75"/>
        <v>3205070.3829489271</v>
      </c>
      <c r="O140" s="103">
        <f t="shared" si="76"/>
        <v>782549.3840119025</v>
      </c>
      <c r="P140" s="105">
        <f t="shared" si="77"/>
        <v>17.834993419237435</v>
      </c>
      <c r="Q140" s="105">
        <f t="shared" si="78"/>
        <v>-67.629879056592472</v>
      </c>
      <c r="R140" s="104">
        <f t="shared" si="79"/>
        <v>69.942029792347086</v>
      </c>
      <c r="S140" s="104" t="str">
        <f t="shared" si="80"/>
        <v>NW</v>
      </c>
      <c r="T140" s="105">
        <f t="shared" si="81"/>
        <v>0.25784438843094459</v>
      </c>
      <c r="U140" s="14">
        <f t="shared" si="82"/>
        <v>-66.383873611846127</v>
      </c>
      <c r="V140" s="14">
        <f t="shared" si="83"/>
        <v>17.506403464362766</v>
      </c>
      <c r="W140" s="103">
        <f t="shared" si="84"/>
        <v>3205070.0543589722</v>
      </c>
      <c r="X140" s="103">
        <f t="shared" si="85"/>
        <v>782550.63001734728</v>
      </c>
      <c r="Y140" s="100">
        <f t="shared" si="86"/>
        <v>28.942447900909894</v>
      </c>
      <c r="Z140" s="100">
        <f t="shared" si="87"/>
        <v>47.898665726130872</v>
      </c>
      <c r="AA140" s="100">
        <f t="shared" si="88"/>
        <v>-1.7245290989365003E-4</v>
      </c>
      <c r="AB140" s="100">
        <f t="shared" si="89"/>
        <v>-3.2600901072044053E-6</v>
      </c>
      <c r="AC140" s="100">
        <f t="shared" si="90"/>
        <v>6.759088691268289E-4</v>
      </c>
      <c r="AD140" s="100">
        <f t="shared" si="91"/>
        <v>1.2688130873073078E-5</v>
      </c>
      <c r="AE140" s="8" t="str">
        <f t="shared" si="64"/>
        <v>Good</v>
      </c>
      <c r="AF140" s="8" t="str">
        <f t="shared" si="65"/>
        <v>Good</v>
      </c>
      <c r="AG140" s="7" t="str">
        <f t="shared" si="92"/>
        <v>Good</v>
      </c>
      <c r="AI140" s="100">
        <f t="shared" si="93"/>
        <v>28.942447900909894</v>
      </c>
      <c r="AJ140" s="100">
        <f t="shared" si="94"/>
        <v>47.898665726130872</v>
      </c>
    </row>
    <row r="141" spans="1:36" x14ac:dyDescent="0.2">
      <c r="A141" s="8">
        <v>7.0890000000000004</v>
      </c>
      <c r="B141" s="100">
        <v>28.942451161000001</v>
      </c>
      <c r="C141" s="100">
        <v>47.898653037999999</v>
      </c>
      <c r="D141" s="101">
        <v>7089.0955463854716</v>
      </c>
      <c r="E141" s="42" t="str">
        <f t="shared" si="66"/>
        <v/>
      </c>
      <c r="F141" s="7" t="str">
        <f t="shared" si="67"/>
        <v/>
      </c>
      <c r="G141" s="100" t="str">
        <f t="shared" si="68"/>
        <v/>
      </c>
      <c r="H141" s="100" t="str">
        <f t="shared" si="69"/>
        <v/>
      </c>
      <c r="I141" s="100" t="str">
        <f t="shared" si="70"/>
        <v/>
      </c>
      <c r="J141" s="100" t="str">
        <f t="shared" si="71"/>
        <v/>
      </c>
      <c r="K141" s="102" t="str">
        <f t="shared" si="72"/>
        <v/>
      </c>
      <c r="L141" s="103" t="str">
        <f t="shared" si="73"/>
        <v/>
      </c>
      <c r="M141" s="103" t="str">
        <f t="shared" si="74"/>
        <v/>
      </c>
      <c r="N141" s="103" t="str">
        <f t="shared" si="75"/>
        <v/>
      </c>
      <c r="O141" s="103" t="str">
        <f t="shared" si="76"/>
        <v/>
      </c>
      <c r="P141" s="105" t="str">
        <f t="shared" si="77"/>
        <v/>
      </c>
      <c r="Q141" s="105" t="str">
        <f t="shared" si="78"/>
        <v/>
      </c>
      <c r="R141" s="104" t="str">
        <f t="shared" si="79"/>
        <v/>
      </c>
      <c r="S141" s="104" t="str">
        <f t="shared" si="80"/>
        <v/>
      </c>
      <c r="T141" s="105" t="str">
        <f t="shared" si="81"/>
        <v/>
      </c>
      <c r="U141" s="14" t="str">
        <f t="shared" si="82"/>
        <v/>
      </c>
      <c r="V141" s="14" t="str">
        <f t="shared" si="83"/>
        <v/>
      </c>
      <c r="W141" s="103" t="str">
        <f t="shared" si="84"/>
        <v/>
      </c>
      <c r="X141" s="103" t="str">
        <f t="shared" si="85"/>
        <v/>
      </c>
      <c r="Y141" s="100" t="str">
        <f t="shared" si="86"/>
        <v/>
      </c>
      <c r="Z141" s="100" t="str">
        <f t="shared" si="87"/>
        <v/>
      </c>
      <c r="AA141" s="100" t="e">
        <f t="shared" si="88"/>
        <v>#VALUE!</v>
      </c>
      <c r="AB141" s="100" t="e">
        <f t="shared" si="89"/>
        <v>#VALUE!</v>
      </c>
      <c r="AC141" s="100" t="e">
        <f t="shared" si="90"/>
        <v>#VALUE!</v>
      </c>
      <c r="AD141" s="100" t="e">
        <f t="shared" si="91"/>
        <v>#VALUE!</v>
      </c>
      <c r="AE141" s="8" t="str">
        <f t="shared" si="64"/>
        <v/>
      </c>
      <c r="AF141" s="8" t="str">
        <f t="shared" si="65"/>
        <v/>
      </c>
      <c r="AG141" s="7" t="str">
        <f t="shared" si="92"/>
        <v>Good</v>
      </c>
      <c r="AI141" s="100">
        <f t="shared" si="93"/>
        <v>28.942451161000001</v>
      </c>
      <c r="AJ141" s="100">
        <f t="shared" si="94"/>
        <v>47.898653037999999</v>
      </c>
    </row>
    <row r="142" spans="1:36" x14ac:dyDescent="0.2">
      <c r="A142" s="8">
        <v>7.1230000000000002</v>
      </c>
      <c r="B142" s="100">
        <v>28.942545115000001</v>
      </c>
      <c r="C142" s="100">
        <v>47.898321414000002</v>
      </c>
      <c r="D142" s="101">
        <v>7122.9912259089733</v>
      </c>
      <c r="E142" s="42" t="str">
        <f t="shared" si="66"/>
        <v/>
      </c>
      <c r="F142" s="7" t="str">
        <f t="shared" si="67"/>
        <v/>
      </c>
      <c r="G142" s="100" t="str">
        <f t="shared" si="68"/>
        <v/>
      </c>
      <c r="H142" s="100" t="str">
        <f t="shared" si="69"/>
        <v/>
      </c>
      <c r="I142" s="100" t="str">
        <f t="shared" si="70"/>
        <v/>
      </c>
      <c r="J142" s="100" t="str">
        <f t="shared" si="71"/>
        <v/>
      </c>
      <c r="K142" s="102" t="str">
        <f t="shared" si="72"/>
        <v/>
      </c>
      <c r="L142" s="103" t="str">
        <f t="shared" si="73"/>
        <v/>
      </c>
      <c r="M142" s="103" t="str">
        <f t="shared" si="74"/>
        <v/>
      </c>
      <c r="N142" s="103" t="str">
        <f t="shared" si="75"/>
        <v/>
      </c>
      <c r="O142" s="103" t="str">
        <f t="shared" si="76"/>
        <v/>
      </c>
      <c r="P142" s="105" t="str">
        <f t="shared" si="77"/>
        <v/>
      </c>
      <c r="Q142" s="105" t="str">
        <f t="shared" si="78"/>
        <v/>
      </c>
      <c r="R142" s="104" t="str">
        <f t="shared" si="79"/>
        <v/>
      </c>
      <c r="S142" s="104" t="str">
        <f t="shared" si="80"/>
        <v/>
      </c>
      <c r="T142" s="105" t="str">
        <f t="shared" si="81"/>
        <v/>
      </c>
      <c r="U142" s="14" t="str">
        <f t="shared" si="82"/>
        <v/>
      </c>
      <c r="V142" s="14" t="str">
        <f t="shared" si="83"/>
        <v/>
      </c>
      <c r="W142" s="103" t="str">
        <f t="shared" si="84"/>
        <v/>
      </c>
      <c r="X142" s="103" t="str">
        <f t="shared" si="85"/>
        <v/>
      </c>
      <c r="Y142" s="100" t="str">
        <f t="shared" si="86"/>
        <v/>
      </c>
      <c r="Z142" s="100" t="str">
        <f t="shared" si="87"/>
        <v/>
      </c>
      <c r="AA142" s="100" t="e">
        <f t="shared" si="88"/>
        <v>#VALUE!</v>
      </c>
      <c r="AB142" s="100" t="e">
        <f t="shared" si="89"/>
        <v>#VALUE!</v>
      </c>
      <c r="AC142" s="100" t="e">
        <f t="shared" si="90"/>
        <v>#VALUE!</v>
      </c>
      <c r="AD142" s="100" t="e">
        <f t="shared" si="91"/>
        <v>#VALUE!</v>
      </c>
      <c r="AE142" s="8" t="str">
        <f t="shared" si="64"/>
        <v/>
      </c>
      <c r="AF142" s="8" t="str">
        <f t="shared" si="65"/>
        <v/>
      </c>
      <c r="AG142" s="7" t="str">
        <f t="shared" si="92"/>
        <v>Good</v>
      </c>
      <c r="AI142" s="100">
        <f t="shared" si="93"/>
        <v>28.942545115000001</v>
      </c>
      <c r="AJ142" s="100">
        <f t="shared" si="94"/>
        <v>47.898321414000002</v>
      </c>
    </row>
    <row r="143" spans="1:36" x14ac:dyDescent="0.2">
      <c r="A143" s="8">
        <v>7.1470000000000002</v>
      </c>
      <c r="B143" s="100">
        <v>28.942616771000001</v>
      </c>
      <c r="C143" s="100">
        <v>47.898092677999998</v>
      </c>
      <c r="D143" s="101">
        <v>7146.6162252165059</v>
      </c>
      <c r="E143" s="42" t="str">
        <f t="shared" si="66"/>
        <v/>
      </c>
      <c r="F143" s="7" t="str">
        <f t="shared" si="67"/>
        <v/>
      </c>
      <c r="G143" s="100" t="str">
        <f t="shared" si="68"/>
        <v/>
      </c>
      <c r="H143" s="100" t="str">
        <f t="shared" si="69"/>
        <v/>
      </c>
      <c r="I143" s="100" t="str">
        <f t="shared" si="70"/>
        <v/>
      </c>
      <c r="J143" s="100" t="str">
        <f t="shared" si="71"/>
        <v/>
      </c>
      <c r="K143" s="102" t="str">
        <f t="shared" si="72"/>
        <v/>
      </c>
      <c r="L143" s="103" t="str">
        <f t="shared" si="73"/>
        <v/>
      </c>
      <c r="M143" s="103" t="str">
        <f t="shared" si="74"/>
        <v/>
      </c>
      <c r="N143" s="103" t="str">
        <f t="shared" si="75"/>
        <v/>
      </c>
      <c r="O143" s="103" t="str">
        <f t="shared" si="76"/>
        <v/>
      </c>
      <c r="P143" s="105" t="str">
        <f t="shared" si="77"/>
        <v/>
      </c>
      <c r="Q143" s="105" t="str">
        <f t="shared" si="78"/>
        <v/>
      </c>
      <c r="R143" s="104" t="str">
        <f t="shared" si="79"/>
        <v/>
      </c>
      <c r="S143" s="104" t="str">
        <f t="shared" si="80"/>
        <v/>
      </c>
      <c r="T143" s="105" t="str">
        <f t="shared" si="81"/>
        <v/>
      </c>
      <c r="U143" s="14" t="str">
        <f t="shared" si="82"/>
        <v/>
      </c>
      <c r="V143" s="14" t="str">
        <f t="shared" si="83"/>
        <v/>
      </c>
      <c r="W143" s="103" t="str">
        <f t="shared" si="84"/>
        <v/>
      </c>
      <c r="X143" s="103" t="str">
        <f t="shared" si="85"/>
        <v/>
      </c>
      <c r="Y143" s="100" t="str">
        <f t="shared" si="86"/>
        <v/>
      </c>
      <c r="Z143" s="100" t="str">
        <f t="shared" si="87"/>
        <v/>
      </c>
      <c r="AA143" s="100" t="e">
        <f t="shared" si="88"/>
        <v>#VALUE!</v>
      </c>
      <c r="AB143" s="100" t="e">
        <f t="shared" si="89"/>
        <v>#VALUE!</v>
      </c>
      <c r="AC143" s="100" t="e">
        <f t="shared" si="90"/>
        <v>#VALUE!</v>
      </c>
      <c r="AD143" s="100" t="e">
        <f t="shared" si="91"/>
        <v>#VALUE!</v>
      </c>
      <c r="AE143" s="8" t="str">
        <f t="shared" si="64"/>
        <v/>
      </c>
      <c r="AF143" s="8" t="str">
        <f t="shared" si="65"/>
        <v/>
      </c>
      <c r="AG143" s="7" t="str">
        <f t="shared" si="92"/>
        <v>Good</v>
      </c>
      <c r="AI143" s="100">
        <f t="shared" si="93"/>
        <v>28.942616771000001</v>
      </c>
      <c r="AJ143" s="100">
        <f t="shared" si="94"/>
        <v>47.898092677999998</v>
      </c>
    </row>
    <row r="144" spans="1:36" x14ac:dyDescent="0.2">
      <c r="A144" s="8">
        <v>7.2119999999999997</v>
      </c>
      <c r="B144" s="100">
        <v>28.942778673999999</v>
      </c>
      <c r="C144" s="100">
        <v>47.897451560999997</v>
      </c>
      <c r="D144" s="101">
        <v>7211.503202795011</v>
      </c>
      <c r="E144" s="42" t="str">
        <f t="shared" si="66"/>
        <v/>
      </c>
      <c r="F144" s="7" t="str">
        <f t="shared" si="67"/>
        <v/>
      </c>
      <c r="G144" s="100" t="str">
        <f t="shared" si="68"/>
        <v/>
      </c>
      <c r="H144" s="100" t="str">
        <f t="shared" si="69"/>
        <v/>
      </c>
      <c r="I144" s="100" t="str">
        <f t="shared" si="70"/>
        <v/>
      </c>
      <c r="J144" s="100" t="str">
        <f t="shared" si="71"/>
        <v/>
      </c>
      <c r="K144" s="102" t="str">
        <f t="shared" si="72"/>
        <v/>
      </c>
      <c r="L144" s="103" t="str">
        <f t="shared" si="73"/>
        <v/>
      </c>
      <c r="M144" s="103" t="str">
        <f t="shared" si="74"/>
        <v/>
      </c>
      <c r="N144" s="103" t="str">
        <f t="shared" si="75"/>
        <v/>
      </c>
      <c r="O144" s="103" t="str">
        <f t="shared" si="76"/>
        <v/>
      </c>
      <c r="P144" s="105" t="str">
        <f t="shared" si="77"/>
        <v/>
      </c>
      <c r="Q144" s="105" t="str">
        <f t="shared" si="78"/>
        <v/>
      </c>
      <c r="R144" s="104" t="str">
        <f t="shared" si="79"/>
        <v/>
      </c>
      <c r="S144" s="104" t="str">
        <f t="shared" si="80"/>
        <v/>
      </c>
      <c r="T144" s="105" t="str">
        <f t="shared" si="81"/>
        <v/>
      </c>
      <c r="U144" s="14" t="str">
        <f t="shared" si="82"/>
        <v/>
      </c>
      <c r="V144" s="14" t="str">
        <f t="shared" si="83"/>
        <v/>
      </c>
      <c r="W144" s="103" t="str">
        <f t="shared" si="84"/>
        <v/>
      </c>
      <c r="X144" s="103" t="str">
        <f t="shared" si="85"/>
        <v/>
      </c>
      <c r="Y144" s="100" t="str">
        <f t="shared" si="86"/>
        <v/>
      </c>
      <c r="Z144" s="100" t="str">
        <f t="shared" si="87"/>
        <v/>
      </c>
      <c r="AA144" s="100" t="e">
        <f t="shared" si="88"/>
        <v>#VALUE!</v>
      </c>
      <c r="AB144" s="100" t="e">
        <f t="shared" si="89"/>
        <v>#VALUE!</v>
      </c>
      <c r="AC144" s="100" t="e">
        <f t="shared" si="90"/>
        <v>#VALUE!</v>
      </c>
      <c r="AD144" s="100" t="e">
        <f t="shared" si="91"/>
        <v>#VALUE!</v>
      </c>
      <c r="AE144" s="8" t="str">
        <f t="shared" si="64"/>
        <v/>
      </c>
      <c r="AF144" s="8" t="str">
        <f t="shared" si="65"/>
        <v/>
      </c>
      <c r="AG144" s="7" t="str">
        <f t="shared" si="92"/>
        <v>Good</v>
      </c>
      <c r="AI144" s="100">
        <f t="shared" si="93"/>
        <v>28.942778673999999</v>
      </c>
      <c r="AJ144" s="100">
        <f t="shared" si="94"/>
        <v>47.897451560999997</v>
      </c>
    </row>
    <row r="145" spans="1:36" x14ac:dyDescent="0.2">
      <c r="A145" s="8">
        <v>7.23</v>
      </c>
      <c r="B145" s="100">
        <v>28.942802353000001</v>
      </c>
      <c r="C145" s="100">
        <v>47.897259697000003</v>
      </c>
      <c r="D145" s="101">
        <v>7230.3450904663587</v>
      </c>
      <c r="E145" s="42" t="str">
        <f t="shared" si="66"/>
        <v/>
      </c>
      <c r="F145" s="7" t="str">
        <f t="shared" si="67"/>
        <v/>
      </c>
      <c r="G145" s="100" t="str">
        <f t="shared" si="68"/>
        <v/>
      </c>
      <c r="H145" s="100" t="str">
        <f t="shared" si="69"/>
        <v/>
      </c>
      <c r="I145" s="100" t="str">
        <f t="shared" si="70"/>
        <v/>
      </c>
      <c r="J145" s="100" t="str">
        <f t="shared" si="71"/>
        <v/>
      </c>
      <c r="K145" s="102" t="str">
        <f t="shared" si="72"/>
        <v/>
      </c>
      <c r="L145" s="103" t="str">
        <f t="shared" si="73"/>
        <v/>
      </c>
      <c r="M145" s="103" t="str">
        <f t="shared" si="74"/>
        <v/>
      </c>
      <c r="N145" s="103" t="str">
        <f t="shared" si="75"/>
        <v/>
      </c>
      <c r="O145" s="103" t="str">
        <f t="shared" si="76"/>
        <v/>
      </c>
      <c r="P145" s="105" t="str">
        <f t="shared" si="77"/>
        <v/>
      </c>
      <c r="Q145" s="105" t="str">
        <f t="shared" si="78"/>
        <v/>
      </c>
      <c r="R145" s="104" t="str">
        <f t="shared" si="79"/>
        <v/>
      </c>
      <c r="S145" s="104" t="str">
        <f t="shared" si="80"/>
        <v/>
      </c>
      <c r="T145" s="105" t="str">
        <f t="shared" si="81"/>
        <v/>
      </c>
      <c r="U145" s="14" t="str">
        <f t="shared" si="82"/>
        <v/>
      </c>
      <c r="V145" s="14" t="str">
        <f t="shared" si="83"/>
        <v/>
      </c>
      <c r="W145" s="103" t="str">
        <f t="shared" si="84"/>
        <v/>
      </c>
      <c r="X145" s="103" t="str">
        <f t="shared" si="85"/>
        <v/>
      </c>
      <c r="Y145" s="100" t="str">
        <f t="shared" si="86"/>
        <v/>
      </c>
      <c r="Z145" s="100" t="str">
        <f t="shared" si="87"/>
        <v/>
      </c>
      <c r="AA145" s="100" t="e">
        <f t="shared" si="88"/>
        <v>#VALUE!</v>
      </c>
      <c r="AB145" s="100" t="e">
        <f t="shared" si="89"/>
        <v>#VALUE!</v>
      </c>
      <c r="AC145" s="100" t="e">
        <f t="shared" si="90"/>
        <v>#VALUE!</v>
      </c>
      <c r="AD145" s="100" t="e">
        <f t="shared" si="91"/>
        <v>#VALUE!</v>
      </c>
      <c r="AE145" s="8" t="str">
        <f t="shared" si="64"/>
        <v/>
      </c>
      <c r="AF145" s="8" t="str">
        <f t="shared" si="65"/>
        <v/>
      </c>
      <c r="AG145" s="7" t="str">
        <f t="shared" si="92"/>
        <v>Good</v>
      </c>
      <c r="AI145" s="100">
        <f t="shared" si="93"/>
        <v>28.942802353000001</v>
      </c>
      <c r="AJ145" s="100">
        <f t="shared" si="94"/>
        <v>47.897259697000003</v>
      </c>
    </row>
    <row r="146" spans="1:36" x14ac:dyDescent="0.2">
      <c r="A146" s="8">
        <v>7.7690000000000001</v>
      </c>
      <c r="B146" s="100">
        <v>28.944200430999999</v>
      </c>
      <c r="C146" s="100">
        <v>47.891954331000001</v>
      </c>
      <c r="D146" s="101">
        <v>7769.1256424340372</v>
      </c>
      <c r="E146" s="42" t="str">
        <f t="shared" si="66"/>
        <v/>
      </c>
      <c r="F146" s="7" t="str">
        <f t="shared" si="67"/>
        <v/>
      </c>
      <c r="G146" s="100" t="str">
        <f t="shared" si="68"/>
        <v/>
      </c>
      <c r="H146" s="100" t="str">
        <f t="shared" si="69"/>
        <v/>
      </c>
      <c r="I146" s="100" t="str">
        <f t="shared" si="70"/>
        <v/>
      </c>
      <c r="J146" s="100" t="str">
        <f t="shared" si="71"/>
        <v/>
      </c>
      <c r="K146" s="102" t="str">
        <f t="shared" si="72"/>
        <v/>
      </c>
      <c r="L146" s="103" t="str">
        <f t="shared" si="73"/>
        <v/>
      </c>
      <c r="M146" s="103" t="str">
        <f t="shared" si="74"/>
        <v/>
      </c>
      <c r="N146" s="103" t="str">
        <f t="shared" si="75"/>
        <v/>
      </c>
      <c r="O146" s="103" t="str">
        <f t="shared" si="76"/>
        <v/>
      </c>
      <c r="P146" s="105" t="str">
        <f t="shared" si="77"/>
        <v/>
      </c>
      <c r="Q146" s="105" t="str">
        <f t="shared" si="78"/>
        <v/>
      </c>
      <c r="R146" s="104" t="str">
        <f t="shared" si="79"/>
        <v/>
      </c>
      <c r="S146" s="104" t="str">
        <f t="shared" si="80"/>
        <v/>
      </c>
      <c r="T146" s="105" t="str">
        <f t="shared" si="81"/>
        <v/>
      </c>
      <c r="U146" s="14" t="str">
        <f t="shared" si="82"/>
        <v/>
      </c>
      <c r="V146" s="14" t="str">
        <f t="shared" si="83"/>
        <v/>
      </c>
      <c r="W146" s="103" t="str">
        <f t="shared" si="84"/>
        <v/>
      </c>
      <c r="X146" s="103" t="str">
        <f t="shared" si="85"/>
        <v/>
      </c>
      <c r="Y146" s="100" t="str">
        <f t="shared" si="86"/>
        <v/>
      </c>
      <c r="Z146" s="100" t="str">
        <f t="shared" si="87"/>
        <v/>
      </c>
      <c r="AA146" s="100" t="e">
        <f t="shared" si="88"/>
        <v>#VALUE!</v>
      </c>
      <c r="AB146" s="100" t="e">
        <f t="shared" si="89"/>
        <v>#VALUE!</v>
      </c>
      <c r="AC146" s="100" t="e">
        <f t="shared" si="90"/>
        <v>#VALUE!</v>
      </c>
      <c r="AD146" s="100" t="e">
        <f t="shared" si="91"/>
        <v>#VALUE!</v>
      </c>
      <c r="AE146" s="8" t="str">
        <f t="shared" si="64"/>
        <v/>
      </c>
      <c r="AF146" s="8" t="str">
        <f t="shared" si="65"/>
        <v/>
      </c>
      <c r="AG146" s="7" t="str">
        <f t="shared" si="92"/>
        <v>Good</v>
      </c>
      <c r="AI146" s="100">
        <f t="shared" si="93"/>
        <v>28.944200430999999</v>
      </c>
      <c r="AJ146" s="100">
        <f t="shared" si="94"/>
        <v>47.891954331000001</v>
      </c>
    </row>
    <row r="147" spans="1:36" x14ac:dyDescent="0.2">
      <c r="A147" s="8">
        <v>7.9340000000000002</v>
      </c>
      <c r="B147" s="100">
        <v>28.944633326999998</v>
      </c>
      <c r="C147" s="100">
        <v>47.890330638000002</v>
      </c>
      <c r="D147" s="101">
        <v>7934.178291020261</v>
      </c>
      <c r="E147" s="42" t="str">
        <f t="shared" si="66"/>
        <v/>
      </c>
      <c r="F147" s="7" t="str">
        <f t="shared" si="67"/>
        <v/>
      </c>
      <c r="G147" s="100" t="str">
        <f t="shared" si="68"/>
        <v/>
      </c>
      <c r="H147" s="100" t="str">
        <f t="shared" si="69"/>
        <v/>
      </c>
      <c r="I147" s="100" t="str">
        <f t="shared" si="70"/>
        <v/>
      </c>
      <c r="J147" s="100" t="str">
        <f t="shared" si="71"/>
        <v/>
      </c>
      <c r="K147" s="102" t="str">
        <f t="shared" si="72"/>
        <v/>
      </c>
      <c r="L147" s="103" t="str">
        <f t="shared" si="73"/>
        <v/>
      </c>
      <c r="M147" s="103" t="str">
        <f t="shared" si="74"/>
        <v/>
      </c>
      <c r="N147" s="103" t="str">
        <f t="shared" si="75"/>
        <v/>
      </c>
      <c r="O147" s="103" t="str">
        <f t="shared" si="76"/>
        <v/>
      </c>
      <c r="P147" s="105" t="str">
        <f t="shared" si="77"/>
        <v/>
      </c>
      <c r="Q147" s="105" t="str">
        <f t="shared" si="78"/>
        <v/>
      </c>
      <c r="R147" s="104" t="str">
        <f t="shared" si="79"/>
        <v/>
      </c>
      <c r="S147" s="104" t="str">
        <f t="shared" si="80"/>
        <v/>
      </c>
      <c r="T147" s="105" t="str">
        <f t="shared" si="81"/>
        <v/>
      </c>
      <c r="U147" s="14" t="str">
        <f t="shared" si="82"/>
        <v/>
      </c>
      <c r="V147" s="14" t="str">
        <f t="shared" si="83"/>
        <v/>
      </c>
      <c r="W147" s="103" t="str">
        <f t="shared" si="84"/>
        <v/>
      </c>
      <c r="X147" s="103" t="str">
        <f t="shared" si="85"/>
        <v/>
      </c>
      <c r="Y147" s="100" t="str">
        <f t="shared" si="86"/>
        <v/>
      </c>
      <c r="Z147" s="100" t="str">
        <f t="shared" si="87"/>
        <v/>
      </c>
      <c r="AA147" s="100" t="e">
        <f t="shared" si="88"/>
        <v>#VALUE!</v>
      </c>
      <c r="AB147" s="100" t="e">
        <f t="shared" si="89"/>
        <v>#VALUE!</v>
      </c>
      <c r="AC147" s="100" t="e">
        <f t="shared" si="90"/>
        <v>#VALUE!</v>
      </c>
      <c r="AD147" s="100" t="e">
        <f t="shared" si="91"/>
        <v>#VALUE!</v>
      </c>
      <c r="AE147" s="8" t="str">
        <f t="shared" si="64"/>
        <v/>
      </c>
      <c r="AF147" s="8" t="str">
        <f t="shared" si="65"/>
        <v/>
      </c>
      <c r="AG147" s="7" t="str">
        <f t="shared" si="92"/>
        <v>Good</v>
      </c>
      <c r="AI147" s="100">
        <f t="shared" si="93"/>
        <v>28.944633326999998</v>
      </c>
      <c r="AJ147" s="100">
        <f t="shared" si="94"/>
        <v>47.890330638000002</v>
      </c>
    </row>
    <row r="148" spans="1:36" x14ac:dyDescent="0.2">
      <c r="A148" s="8">
        <v>7.9649999999999999</v>
      </c>
      <c r="B148" s="100">
        <v>28.944708145</v>
      </c>
      <c r="C148" s="100">
        <v>47.890029835</v>
      </c>
      <c r="D148" s="101">
        <v>7964.586957491746</v>
      </c>
      <c r="E148" s="42" t="str">
        <f t="shared" si="66"/>
        <v/>
      </c>
      <c r="F148" s="7" t="str">
        <f t="shared" si="67"/>
        <v/>
      </c>
      <c r="G148" s="100" t="str">
        <f t="shared" si="68"/>
        <v/>
      </c>
      <c r="H148" s="100" t="str">
        <f t="shared" si="69"/>
        <v/>
      </c>
      <c r="I148" s="100" t="str">
        <f t="shared" si="70"/>
        <v/>
      </c>
      <c r="J148" s="100" t="str">
        <f t="shared" si="71"/>
        <v/>
      </c>
      <c r="K148" s="102" t="str">
        <f t="shared" si="72"/>
        <v/>
      </c>
      <c r="L148" s="103" t="str">
        <f t="shared" si="73"/>
        <v/>
      </c>
      <c r="M148" s="103" t="str">
        <f t="shared" si="74"/>
        <v/>
      </c>
      <c r="N148" s="103" t="str">
        <f t="shared" si="75"/>
        <v/>
      </c>
      <c r="O148" s="103" t="str">
        <f t="shared" si="76"/>
        <v/>
      </c>
      <c r="P148" s="105" t="str">
        <f t="shared" si="77"/>
        <v/>
      </c>
      <c r="Q148" s="105" t="str">
        <f t="shared" si="78"/>
        <v/>
      </c>
      <c r="R148" s="104" t="str">
        <f t="shared" si="79"/>
        <v/>
      </c>
      <c r="S148" s="104" t="str">
        <f t="shared" si="80"/>
        <v/>
      </c>
      <c r="T148" s="105" t="str">
        <f t="shared" si="81"/>
        <v/>
      </c>
      <c r="U148" s="14" t="str">
        <f t="shared" si="82"/>
        <v/>
      </c>
      <c r="V148" s="14" t="str">
        <f t="shared" si="83"/>
        <v/>
      </c>
      <c r="W148" s="103" t="str">
        <f t="shared" si="84"/>
        <v/>
      </c>
      <c r="X148" s="103" t="str">
        <f t="shared" si="85"/>
        <v/>
      </c>
      <c r="Y148" s="100" t="str">
        <f t="shared" si="86"/>
        <v/>
      </c>
      <c r="Z148" s="100" t="str">
        <f t="shared" si="87"/>
        <v/>
      </c>
      <c r="AA148" s="100" t="e">
        <f t="shared" si="88"/>
        <v>#VALUE!</v>
      </c>
      <c r="AB148" s="100" t="e">
        <f t="shared" si="89"/>
        <v>#VALUE!</v>
      </c>
      <c r="AC148" s="100" t="e">
        <f t="shared" si="90"/>
        <v>#VALUE!</v>
      </c>
      <c r="AD148" s="100" t="e">
        <f t="shared" si="91"/>
        <v>#VALUE!</v>
      </c>
      <c r="AE148" s="8" t="str">
        <f t="shared" si="64"/>
        <v/>
      </c>
      <c r="AF148" s="8" t="str">
        <f t="shared" si="65"/>
        <v/>
      </c>
      <c r="AG148" s="7" t="str">
        <f t="shared" si="92"/>
        <v>Good</v>
      </c>
      <c r="AI148" s="100">
        <f t="shared" si="93"/>
        <v>28.944708145</v>
      </c>
      <c r="AJ148" s="100">
        <f t="shared" si="94"/>
        <v>47.890029835</v>
      </c>
    </row>
    <row r="149" spans="1:36" x14ac:dyDescent="0.2">
      <c r="A149" s="8">
        <v>8.0129999999999999</v>
      </c>
      <c r="B149" s="100">
        <v>28.944802137</v>
      </c>
      <c r="C149" s="100">
        <v>47.889545712999997</v>
      </c>
      <c r="D149" s="101">
        <v>8012.8074280367409</v>
      </c>
      <c r="E149" s="42" t="str">
        <f t="shared" si="66"/>
        <v/>
      </c>
      <c r="F149" s="7" t="str">
        <f t="shared" si="67"/>
        <v/>
      </c>
      <c r="G149" s="100" t="str">
        <f t="shared" si="68"/>
        <v/>
      </c>
      <c r="H149" s="100" t="str">
        <f t="shared" si="69"/>
        <v/>
      </c>
      <c r="I149" s="100" t="str">
        <f t="shared" si="70"/>
        <v/>
      </c>
      <c r="J149" s="100" t="str">
        <f t="shared" si="71"/>
        <v/>
      </c>
      <c r="K149" s="102" t="str">
        <f t="shared" si="72"/>
        <v/>
      </c>
      <c r="L149" s="103" t="str">
        <f t="shared" si="73"/>
        <v/>
      </c>
      <c r="M149" s="103" t="str">
        <f t="shared" si="74"/>
        <v/>
      </c>
      <c r="N149" s="103" t="str">
        <f t="shared" si="75"/>
        <v/>
      </c>
      <c r="O149" s="103" t="str">
        <f t="shared" si="76"/>
        <v/>
      </c>
      <c r="P149" s="105" t="str">
        <f t="shared" si="77"/>
        <v/>
      </c>
      <c r="Q149" s="105" t="str">
        <f t="shared" si="78"/>
        <v/>
      </c>
      <c r="R149" s="104" t="str">
        <f t="shared" si="79"/>
        <v/>
      </c>
      <c r="S149" s="104" t="str">
        <f t="shared" si="80"/>
        <v/>
      </c>
      <c r="T149" s="105" t="str">
        <f t="shared" si="81"/>
        <v/>
      </c>
      <c r="U149" s="14" t="str">
        <f t="shared" si="82"/>
        <v/>
      </c>
      <c r="V149" s="14" t="str">
        <f t="shared" si="83"/>
        <v/>
      </c>
      <c r="W149" s="103" t="str">
        <f t="shared" si="84"/>
        <v/>
      </c>
      <c r="X149" s="103" t="str">
        <f t="shared" si="85"/>
        <v/>
      </c>
      <c r="Y149" s="100" t="str">
        <f t="shared" si="86"/>
        <v/>
      </c>
      <c r="Z149" s="100" t="str">
        <f t="shared" si="87"/>
        <v/>
      </c>
      <c r="AA149" s="100" t="e">
        <f t="shared" si="88"/>
        <v>#VALUE!</v>
      </c>
      <c r="AB149" s="100" t="e">
        <f t="shared" si="89"/>
        <v>#VALUE!</v>
      </c>
      <c r="AC149" s="100" t="e">
        <f t="shared" si="90"/>
        <v>#VALUE!</v>
      </c>
      <c r="AD149" s="100" t="e">
        <f t="shared" si="91"/>
        <v>#VALUE!</v>
      </c>
      <c r="AE149" s="8" t="str">
        <f t="shared" si="64"/>
        <v/>
      </c>
      <c r="AF149" s="8" t="str">
        <f t="shared" si="65"/>
        <v/>
      </c>
      <c r="AG149" s="7" t="str">
        <f t="shared" si="92"/>
        <v>Good</v>
      </c>
      <c r="AI149" s="100">
        <f t="shared" si="93"/>
        <v>28.944802137</v>
      </c>
      <c r="AJ149" s="100">
        <f t="shared" si="94"/>
        <v>47.889545712999997</v>
      </c>
    </row>
    <row r="150" spans="1:36" x14ac:dyDescent="0.2">
      <c r="A150" s="8">
        <v>8.0380000000000003</v>
      </c>
      <c r="B150" s="100">
        <v>28.944896658000001</v>
      </c>
      <c r="C150" s="100">
        <v>47.889305794999999</v>
      </c>
      <c r="D150" s="101">
        <v>8038.3922130450756</v>
      </c>
      <c r="E150" s="42" t="str">
        <f t="shared" si="66"/>
        <v/>
      </c>
      <c r="F150" s="7" t="str">
        <f t="shared" si="67"/>
        <v/>
      </c>
      <c r="G150" s="100" t="str">
        <f t="shared" si="68"/>
        <v/>
      </c>
      <c r="H150" s="100" t="str">
        <f t="shared" si="69"/>
        <v/>
      </c>
      <c r="I150" s="100" t="str">
        <f t="shared" si="70"/>
        <v/>
      </c>
      <c r="J150" s="100" t="str">
        <f t="shared" si="71"/>
        <v/>
      </c>
      <c r="K150" s="102" t="str">
        <f t="shared" si="72"/>
        <v/>
      </c>
      <c r="L150" s="103" t="str">
        <f t="shared" si="73"/>
        <v/>
      </c>
      <c r="M150" s="103" t="str">
        <f t="shared" si="74"/>
        <v/>
      </c>
      <c r="N150" s="103" t="str">
        <f t="shared" si="75"/>
        <v/>
      </c>
      <c r="O150" s="103" t="str">
        <f t="shared" si="76"/>
        <v/>
      </c>
      <c r="P150" s="105" t="str">
        <f t="shared" si="77"/>
        <v/>
      </c>
      <c r="Q150" s="105" t="str">
        <f t="shared" si="78"/>
        <v/>
      </c>
      <c r="R150" s="104" t="str">
        <f t="shared" si="79"/>
        <v/>
      </c>
      <c r="S150" s="104" t="str">
        <f t="shared" si="80"/>
        <v/>
      </c>
      <c r="T150" s="105" t="str">
        <f t="shared" si="81"/>
        <v/>
      </c>
      <c r="U150" s="14" t="str">
        <f t="shared" si="82"/>
        <v/>
      </c>
      <c r="V150" s="14" t="str">
        <f t="shared" si="83"/>
        <v/>
      </c>
      <c r="W150" s="103" t="str">
        <f t="shared" si="84"/>
        <v/>
      </c>
      <c r="X150" s="103" t="str">
        <f t="shared" si="85"/>
        <v/>
      </c>
      <c r="Y150" s="100" t="str">
        <f t="shared" si="86"/>
        <v/>
      </c>
      <c r="Z150" s="100" t="str">
        <f t="shared" si="87"/>
        <v/>
      </c>
      <c r="AA150" s="100" t="e">
        <f t="shared" si="88"/>
        <v>#VALUE!</v>
      </c>
      <c r="AB150" s="100" t="e">
        <f t="shared" si="89"/>
        <v>#VALUE!</v>
      </c>
      <c r="AC150" s="100" t="e">
        <f t="shared" si="90"/>
        <v>#VALUE!</v>
      </c>
      <c r="AD150" s="100" t="e">
        <f t="shared" si="91"/>
        <v>#VALUE!</v>
      </c>
      <c r="AE150" s="8" t="str">
        <f t="shared" si="64"/>
        <v/>
      </c>
      <c r="AF150" s="8" t="str">
        <f t="shared" si="65"/>
        <v/>
      </c>
      <c r="AG150" s="7" t="str">
        <f t="shared" si="92"/>
        <v>Good</v>
      </c>
      <c r="AI150" s="100">
        <f t="shared" si="93"/>
        <v>28.944896658000001</v>
      </c>
      <c r="AJ150" s="100">
        <f t="shared" si="94"/>
        <v>47.889305794999999</v>
      </c>
    </row>
    <row r="151" spans="1:36" x14ac:dyDescent="0.2">
      <c r="A151" s="8">
        <v>8.0830000000000002</v>
      </c>
      <c r="B151" s="100">
        <v>28.945006441</v>
      </c>
      <c r="C151" s="100">
        <v>47.888863348000001</v>
      </c>
      <c r="D151" s="101">
        <v>8083.1114346135892</v>
      </c>
      <c r="E151" s="42" t="str">
        <f t="shared" si="66"/>
        <v/>
      </c>
      <c r="F151" s="7" t="str">
        <f t="shared" si="67"/>
        <v/>
      </c>
      <c r="G151" s="100" t="str">
        <f t="shared" si="68"/>
        <v/>
      </c>
      <c r="H151" s="100" t="str">
        <f t="shared" si="69"/>
        <v/>
      </c>
      <c r="I151" s="100" t="str">
        <f t="shared" si="70"/>
        <v/>
      </c>
      <c r="J151" s="100" t="str">
        <f t="shared" si="71"/>
        <v/>
      </c>
      <c r="K151" s="102" t="str">
        <f t="shared" si="72"/>
        <v/>
      </c>
      <c r="L151" s="103" t="str">
        <f t="shared" si="73"/>
        <v/>
      </c>
      <c r="M151" s="103" t="str">
        <f t="shared" si="74"/>
        <v/>
      </c>
      <c r="N151" s="103" t="str">
        <f t="shared" si="75"/>
        <v/>
      </c>
      <c r="O151" s="103" t="str">
        <f t="shared" si="76"/>
        <v/>
      </c>
      <c r="P151" s="105" t="str">
        <f t="shared" si="77"/>
        <v/>
      </c>
      <c r="Q151" s="105" t="str">
        <f t="shared" si="78"/>
        <v/>
      </c>
      <c r="R151" s="104" t="str">
        <f t="shared" si="79"/>
        <v/>
      </c>
      <c r="S151" s="104" t="str">
        <f t="shared" si="80"/>
        <v/>
      </c>
      <c r="T151" s="105" t="str">
        <f t="shared" si="81"/>
        <v/>
      </c>
      <c r="U151" s="14" t="str">
        <f t="shared" si="82"/>
        <v/>
      </c>
      <c r="V151" s="14" t="str">
        <f t="shared" si="83"/>
        <v/>
      </c>
      <c r="W151" s="103" t="str">
        <f t="shared" si="84"/>
        <v/>
      </c>
      <c r="X151" s="103" t="str">
        <f t="shared" si="85"/>
        <v/>
      </c>
      <c r="Y151" s="100" t="str">
        <f t="shared" si="86"/>
        <v/>
      </c>
      <c r="Z151" s="100" t="str">
        <f t="shared" si="87"/>
        <v/>
      </c>
      <c r="AA151" s="100" t="e">
        <f t="shared" si="88"/>
        <v>#VALUE!</v>
      </c>
      <c r="AB151" s="100" t="e">
        <f t="shared" si="89"/>
        <v>#VALUE!</v>
      </c>
      <c r="AC151" s="100" t="e">
        <f t="shared" si="90"/>
        <v>#VALUE!</v>
      </c>
      <c r="AD151" s="100" t="e">
        <f t="shared" si="91"/>
        <v>#VALUE!</v>
      </c>
      <c r="AE151" s="8" t="str">
        <f t="shared" si="64"/>
        <v/>
      </c>
      <c r="AF151" s="8" t="str">
        <f t="shared" si="65"/>
        <v/>
      </c>
      <c r="AG151" s="7" t="str">
        <f t="shared" si="92"/>
        <v>Good</v>
      </c>
      <c r="AI151" s="100">
        <f t="shared" si="93"/>
        <v>28.945006441</v>
      </c>
      <c r="AJ151" s="100">
        <f t="shared" si="94"/>
        <v>47.888863348000001</v>
      </c>
    </row>
    <row r="152" spans="1:36" x14ac:dyDescent="0.2">
      <c r="A152" s="8">
        <v>8.18</v>
      </c>
      <c r="D152" s="101">
        <v>8180</v>
      </c>
      <c r="E152" s="42">
        <f t="shared" si="66"/>
        <v>96.888565386410846</v>
      </c>
      <c r="F152" s="7">
        <f t="shared" si="67"/>
        <v>1</v>
      </c>
      <c r="G152" s="100">
        <f t="shared" si="68"/>
        <v>28.945006441</v>
      </c>
      <c r="H152" s="100">
        <f t="shared" si="69"/>
        <v>47.888863348000001</v>
      </c>
      <c r="I152" s="100">
        <f t="shared" si="70"/>
        <v>28.945260544</v>
      </c>
      <c r="J152" s="100">
        <f t="shared" si="71"/>
        <v>47.887902679</v>
      </c>
      <c r="K152" s="102">
        <f t="shared" si="72"/>
        <v>38</v>
      </c>
      <c r="L152" s="103">
        <f t="shared" si="73"/>
        <v>3205330.3223736831</v>
      </c>
      <c r="M152" s="103">
        <f t="shared" si="74"/>
        <v>781587.77103471023</v>
      </c>
      <c r="N152" s="103">
        <f t="shared" si="75"/>
        <v>3205356.2061218261</v>
      </c>
      <c r="O152" s="103">
        <f t="shared" si="76"/>
        <v>781493.4009625233</v>
      </c>
      <c r="P152" s="105">
        <f t="shared" si="77"/>
        <v>25.883748142980039</v>
      </c>
      <c r="Q152" s="105">
        <f t="shared" si="78"/>
        <v>-94.370072186924517</v>
      </c>
      <c r="R152" s="104">
        <f t="shared" si="79"/>
        <v>97.855398126493597</v>
      </c>
      <c r="S152" s="104" t="str">
        <f t="shared" si="80"/>
        <v>NW</v>
      </c>
      <c r="T152" s="105">
        <f t="shared" si="81"/>
        <v>0.26769596783034227</v>
      </c>
      <c r="U152" s="14">
        <f t="shared" si="82"/>
        <v>-93.437675229565571</v>
      </c>
      <c r="V152" s="14">
        <f t="shared" si="83"/>
        <v>25.628011049065812</v>
      </c>
      <c r="W152" s="103">
        <f t="shared" si="84"/>
        <v>3205355.9503847323</v>
      </c>
      <c r="X152" s="103">
        <f t="shared" si="85"/>
        <v>781494.3333594806</v>
      </c>
      <c r="Y152" s="100">
        <f t="shared" si="86"/>
        <v>28.945258010376548</v>
      </c>
      <c r="Z152" s="100">
        <f t="shared" si="87"/>
        <v>47.887912172058932</v>
      </c>
      <c r="AA152" s="100">
        <f t="shared" si="88"/>
        <v>-2.5156937654813305E-4</v>
      </c>
      <c r="AB152" s="100">
        <f t="shared" si="89"/>
        <v>-2.5336234514838907E-6</v>
      </c>
      <c r="AC152" s="100">
        <f t="shared" si="90"/>
        <v>9.5117594106852721E-4</v>
      </c>
      <c r="AD152" s="100">
        <f t="shared" si="91"/>
        <v>9.4930589327191228E-6</v>
      </c>
      <c r="AE152" s="8" t="str">
        <f t="shared" si="64"/>
        <v>Good</v>
      </c>
      <c r="AF152" s="8" t="str">
        <f t="shared" si="65"/>
        <v>Good</v>
      </c>
      <c r="AG152" s="7" t="str">
        <f t="shared" si="92"/>
        <v>Good</v>
      </c>
      <c r="AI152" s="100">
        <f t="shared" si="93"/>
        <v>28.945258010376548</v>
      </c>
      <c r="AJ152" s="100">
        <f t="shared" si="94"/>
        <v>47.887912172058932</v>
      </c>
    </row>
    <row r="153" spans="1:36" x14ac:dyDescent="0.2">
      <c r="A153" s="8">
        <v>8.1809999999999992</v>
      </c>
      <c r="B153" s="100">
        <v>28.945260544</v>
      </c>
      <c r="C153" s="100">
        <v>47.887902679</v>
      </c>
      <c r="D153" s="101">
        <v>8180.7000462534079</v>
      </c>
      <c r="E153" s="42" t="str">
        <f t="shared" si="66"/>
        <v/>
      </c>
      <c r="F153" s="7" t="str">
        <f t="shared" si="67"/>
        <v/>
      </c>
      <c r="G153" s="100" t="str">
        <f t="shared" si="68"/>
        <v/>
      </c>
      <c r="H153" s="100" t="str">
        <f t="shared" si="69"/>
        <v/>
      </c>
      <c r="I153" s="100" t="str">
        <f t="shared" si="70"/>
        <v/>
      </c>
      <c r="J153" s="100" t="str">
        <f t="shared" si="71"/>
        <v/>
      </c>
      <c r="K153" s="102" t="str">
        <f t="shared" si="72"/>
        <v/>
      </c>
      <c r="L153" s="103" t="str">
        <f t="shared" si="73"/>
        <v/>
      </c>
      <c r="M153" s="103" t="str">
        <f t="shared" si="74"/>
        <v/>
      </c>
      <c r="N153" s="103" t="str">
        <f t="shared" si="75"/>
        <v/>
      </c>
      <c r="O153" s="103" t="str">
        <f t="shared" si="76"/>
        <v/>
      </c>
      <c r="P153" s="105" t="str">
        <f t="shared" si="77"/>
        <v/>
      </c>
      <c r="Q153" s="105" t="str">
        <f t="shared" si="78"/>
        <v/>
      </c>
      <c r="R153" s="104" t="str">
        <f t="shared" si="79"/>
        <v/>
      </c>
      <c r="S153" s="104" t="str">
        <f t="shared" si="80"/>
        <v/>
      </c>
      <c r="T153" s="105" t="str">
        <f t="shared" si="81"/>
        <v/>
      </c>
      <c r="U153" s="14" t="str">
        <f t="shared" si="82"/>
        <v/>
      </c>
      <c r="V153" s="14" t="str">
        <f t="shared" si="83"/>
        <v/>
      </c>
      <c r="W153" s="103" t="str">
        <f t="shared" si="84"/>
        <v/>
      </c>
      <c r="X153" s="103" t="str">
        <f t="shared" si="85"/>
        <v/>
      </c>
      <c r="Y153" s="100" t="str">
        <f t="shared" si="86"/>
        <v/>
      </c>
      <c r="Z153" s="100" t="str">
        <f t="shared" si="87"/>
        <v/>
      </c>
      <c r="AA153" s="100" t="e">
        <f t="shared" si="88"/>
        <v>#VALUE!</v>
      </c>
      <c r="AB153" s="100" t="e">
        <f t="shared" si="89"/>
        <v>#VALUE!</v>
      </c>
      <c r="AC153" s="100" t="e">
        <f t="shared" si="90"/>
        <v>#VALUE!</v>
      </c>
      <c r="AD153" s="100" t="e">
        <f t="shared" si="91"/>
        <v>#VALUE!</v>
      </c>
      <c r="AE153" s="8" t="str">
        <f t="shared" si="64"/>
        <v/>
      </c>
      <c r="AF153" s="8" t="str">
        <f t="shared" si="65"/>
        <v/>
      </c>
      <c r="AG153" s="7" t="str">
        <f t="shared" si="92"/>
        <v>Good</v>
      </c>
      <c r="AI153" s="100">
        <f t="shared" si="93"/>
        <v>28.945260544</v>
      </c>
      <c r="AJ153" s="100">
        <f t="shared" si="94"/>
        <v>47.887902679</v>
      </c>
    </row>
    <row r="154" spans="1:36" x14ac:dyDescent="0.2">
      <c r="A154" s="8">
        <v>8.2569999999999997</v>
      </c>
      <c r="B154" s="100">
        <v>28.945464299000001</v>
      </c>
      <c r="C154" s="100">
        <v>47.887153974</v>
      </c>
      <c r="D154" s="101">
        <v>8256.9425963330668</v>
      </c>
      <c r="E154" s="42" t="str">
        <f t="shared" si="66"/>
        <v/>
      </c>
      <c r="F154" s="7" t="str">
        <f t="shared" si="67"/>
        <v/>
      </c>
      <c r="G154" s="100" t="str">
        <f t="shared" si="68"/>
        <v/>
      </c>
      <c r="H154" s="100" t="str">
        <f t="shared" si="69"/>
        <v/>
      </c>
      <c r="I154" s="100" t="str">
        <f t="shared" si="70"/>
        <v/>
      </c>
      <c r="J154" s="100" t="str">
        <f t="shared" si="71"/>
        <v/>
      </c>
      <c r="K154" s="102" t="str">
        <f t="shared" si="72"/>
        <v/>
      </c>
      <c r="L154" s="103" t="str">
        <f t="shared" si="73"/>
        <v/>
      </c>
      <c r="M154" s="103" t="str">
        <f t="shared" si="74"/>
        <v/>
      </c>
      <c r="N154" s="103" t="str">
        <f t="shared" si="75"/>
        <v/>
      </c>
      <c r="O154" s="103" t="str">
        <f t="shared" si="76"/>
        <v/>
      </c>
      <c r="P154" s="105" t="str">
        <f t="shared" si="77"/>
        <v/>
      </c>
      <c r="Q154" s="105" t="str">
        <f t="shared" si="78"/>
        <v/>
      </c>
      <c r="R154" s="104" t="str">
        <f t="shared" si="79"/>
        <v/>
      </c>
      <c r="S154" s="104" t="str">
        <f t="shared" si="80"/>
        <v/>
      </c>
      <c r="T154" s="105" t="str">
        <f t="shared" si="81"/>
        <v/>
      </c>
      <c r="U154" s="14" t="str">
        <f t="shared" si="82"/>
        <v/>
      </c>
      <c r="V154" s="14" t="str">
        <f t="shared" si="83"/>
        <v/>
      </c>
      <c r="W154" s="103" t="str">
        <f t="shared" si="84"/>
        <v/>
      </c>
      <c r="X154" s="103" t="str">
        <f t="shared" si="85"/>
        <v/>
      </c>
      <c r="Y154" s="100" t="str">
        <f t="shared" si="86"/>
        <v/>
      </c>
      <c r="Z154" s="100" t="str">
        <f t="shared" si="87"/>
        <v/>
      </c>
      <c r="AA154" s="100" t="e">
        <f t="shared" si="88"/>
        <v>#VALUE!</v>
      </c>
      <c r="AB154" s="100" t="e">
        <f t="shared" si="89"/>
        <v>#VALUE!</v>
      </c>
      <c r="AC154" s="100" t="e">
        <f t="shared" si="90"/>
        <v>#VALUE!</v>
      </c>
      <c r="AD154" s="100" t="e">
        <f t="shared" si="91"/>
        <v>#VALUE!</v>
      </c>
      <c r="AE154" s="8" t="str">
        <f t="shared" si="64"/>
        <v/>
      </c>
      <c r="AF154" s="8" t="str">
        <f t="shared" si="65"/>
        <v/>
      </c>
      <c r="AG154" s="7" t="str">
        <f t="shared" si="92"/>
        <v>Good</v>
      </c>
      <c r="AI154" s="100">
        <f t="shared" si="93"/>
        <v>28.945464299000001</v>
      </c>
      <c r="AJ154" s="100">
        <f t="shared" si="94"/>
        <v>47.887153974</v>
      </c>
    </row>
    <row r="155" spans="1:36" x14ac:dyDescent="0.2">
      <c r="A155" s="8">
        <v>8.7219999999999995</v>
      </c>
      <c r="B155" s="100">
        <v>28.946644627000001</v>
      </c>
      <c r="C155" s="100">
        <v>47.882570372000004</v>
      </c>
      <c r="D155" s="101">
        <v>8721.5411925941607</v>
      </c>
      <c r="E155" s="42" t="str">
        <f t="shared" si="66"/>
        <v/>
      </c>
      <c r="F155" s="7" t="str">
        <f t="shared" si="67"/>
        <v/>
      </c>
      <c r="G155" s="100" t="str">
        <f t="shared" si="68"/>
        <v/>
      </c>
      <c r="H155" s="100" t="str">
        <f t="shared" si="69"/>
        <v/>
      </c>
      <c r="I155" s="100" t="str">
        <f t="shared" si="70"/>
        <v/>
      </c>
      <c r="J155" s="100" t="str">
        <f t="shared" si="71"/>
        <v/>
      </c>
      <c r="K155" s="102" t="str">
        <f t="shared" si="72"/>
        <v/>
      </c>
      <c r="L155" s="103" t="str">
        <f t="shared" si="73"/>
        <v/>
      </c>
      <c r="M155" s="103" t="str">
        <f t="shared" si="74"/>
        <v/>
      </c>
      <c r="N155" s="103" t="str">
        <f t="shared" si="75"/>
        <v/>
      </c>
      <c r="O155" s="103" t="str">
        <f t="shared" si="76"/>
        <v/>
      </c>
      <c r="P155" s="105" t="str">
        <f t="shared" si="77"/>
        <v/>
      </c>
      <c r="Q155" s="105" t="str">
        <f t="shared" si="78"/>
        <v/>
      </c>
      <c r="R155" s="104" t="str">
        <f t="shared" si="79"/>
        <v/>
      </c>
      <c r="S155" s="104" t="str">
        <f t="shared" si="80"/>
        <v/>
      </c>
      <c r="T155" s="105" t="str">
        <f t="shared" si="81"/>
        <v/>
      </c>
      <c r="U155" s="14" t="str">
        <f t="shared" si="82"/>
        <v/>
      </c>
      <c r="V155" s="14" t="str">
        <f t="shared" si="83"/>
        <v/>
      </c>
      <c r="W155" s="103" t="str">
        <f t="shared" si="84"/>
        <v/>
      </c>
      <c r="X155" s="103" t="str">
        <f t="shared" si="85"/>
        <v/>
      </c>
      <c r="Y155" s="100" t="str">
        <f t="shared" si="86"/>
        <v/>
      </c>
      <c r="Z155" s="100" t="str">
        <f t="shared" si="87"/>
        <v/>
      </c>
      <c r="AA155" s="100" t="e">
        <f t="shared" si="88"/>
        <v>#VALUE!</v>
      </c>
      <c r="AB155" s="100" t="e">
        <f t="shared" si="89"/>
        <v>#VALUE!</v>
      </c>
      <c r="AC155" s="100" t="e">
        <f t="shared" si="90"/>
        <v>#VALUE!</v>
      </c>
      <c r="AD155" s="100" t="e">
        <f t="shared" si="91"/>
        <v>#VALUE!</v>
      </c>
      <c r="AE155" s="8" t="str">
        <f t="shared" si="64"/>
        <v/>
      </c>
      <c r="AF155" s="8" t="str">
        <f t="shared" si="65"/>
        <v/>
      </c>
      <c r="AG155" s="7" t="str">
        <f t="shared" si="92"/>
        <v>Good</v>
      </c>
      <c r="AI155" s="100">
        <f t="shared" si="93"/>
        <v>28.946644627000001</v>
      </c>
      <c r="AJ155" s="100">
        <f t="shared" si="94"/>
        <v>47.882570372000004</v>
      </c>
    </row>
    <row r="156" spans="1:36" x14ac:dyDescent="0.2">
      <c r="A156" s="8">
        <v>9.1419999999999995</v>
      </c>
      <c r="B156" s="100">
        <v>28.947727010000001</v>
      </c>
      <c r="C156" s="100">
        <v>47.878426853000001</v>
      </c>
      <c r="D156" s="101">
        <v>9142.0140169867664</v>
      </c>
      <c r="E156" s="42" t="str">
        <f t="shared" si="66"/>
        <v/>
      </c>
      <c r="F156" s="7" t="str">
        <f t="shared" si="67"/>
        <v/>
      </c>
      <c r="G156" s="100" t="str">
        <f t="shared" si="68"/>
        <v/>
      </c>
      <c r="H156" s="100" t="str">
        <f t="shared" si="69"/>
        <v/>
      </c>
      <c r="I156" s="100" t="str">
        <f t="shared" si="70"/>
        <v/>
      </c>
      <c r="J156" s="100" t="str">
        <f t="shared" si="71"/>
        <v/>
      </c>
      <c r="K156" s="102" t="str">
        <f t="shared" si="72"/>
        <v/>
      </c>
      <c r="L156" s="103" t="str">
        <f t="shared" si="73"/>
        <v/>
      </c>
      <c r="M156" s="103" t="str">
        <f t="shared" si="74"/>
        <v/>
      </c>
      <c r="N156" s="103" t="str">
        <f t="shared" si="75"/>
        <v/>
      </c>
      <c r="O156" s="103" t="str">
        <f t="shared" si="76"/>
        <v/>
      </c>
      <c r="P156" s="105" t="str">
        <f t="shared" si="77"/>
        <v/>
      </c>
      <c r="Q156" s="105" t="str">
        <f t="shared" si="78"/>
        <v/>
      </c>
      <c r="R156" s="104" t="str">
        <f t="shared" si="79"/>
        <v/>
      </c>
      <c r="S156" s="104" t="str">
        <f t="shared" si="80"/>
        <v/>
      </c>
      <c r="T156" s="105" t="str">
        <f t="shared" si="81"/>
        <v/>
      </c>
      <c r="U156" s="14" t="str">
        <f t="shared" si="82"/>
        <v/>
      </c>
      <c r="V156" s="14" t="str">
        <f t="shared" si="83"/>
        <v/>
      </c>
      <c r="W156" s="103" t="str">
        <f t="shared" si="84"/>
        <v/>
      </c>
      <c r="X156" s="103" t="str">
        <f t="shared" si="85"/>
        <v/>
      </c>
      <c r="Y156" s="100" t="str">
        <f t="shared" si="86"/>
        <v/>
      </c>
      <c r="Z156" s="100" t="str">
        <f t="shared" si="87"/>
        <v/>
      </c>
      <c r="AA156" s="100" t="e">
        <f t="shared" si="88"/>
        <v>#VALUE!</v>
      </c>
      <c r="AB156" s="100" t="e">
        <f t="shared" si="89"/>
        <v>#VALUE!</v>
      </c>
      <c r="AC156" s="100" t="e">
        <f t="shared" si="90"/>
        <v>#VALUE!</v>
      </c>
      <c r="AD156" s="100" t="e">
        <f t="shared" si="91"/>
        <v>#VALUE!</v>
      </c>
      <c r="AE156" s="8" t="str">
        <f t="shared" si="64"/>
        <v/>
      </c>
      <c r="AF156" s="8" t="str">
        <f t="shared" si="65"/>
        <v/>
      </c>
      <c r="AG156" s="7" t="str">
        <f t="shared" si="92"/>
        <v>Good</v>
      </c>
      <c r="AI156" s="100">
        <f t="shared" si="93"/>
        <v>28.947727010000001</v>
      </c>
      <c r="AJ156" s="100">
        <f t="shared" si="94"/>
        <v>47.878426853000001</v>
      </c>
    </row>
    <row r="157" spans="1:36" x14ac:dyDescent="0.2">
      <c r="A157" s="8">
        <v>9.1690000000000005</v>
      </c>
      <c r="D157" s="101">
        <v>9169</v>
      </c>
      <c r="E157" s="42">
        <f t="shared" si="66"/>
        <v>26.985983013233636</v>
      </c>
      <c r="F157" s="7">
        <f t="shared" si="67"/>
        <v>1</v>
      </c>
      <c r="G157" s="100">
        <f t="shared" si="68"/>
        <v>28.947727010000001</v>
      </c>
      <c r="H157" s="100">
        <f t="shared" si="69"/>
        <v>47.878426853000001</v>
      </c>
      <c r="I157" s="100">
        <f t="shared" si="70"/>
        <v>28.947805018</v>
      </c>
      <c r="J157" s="100">
        <f t="shared" si="71"/>
        <v>47.878151043999999</v>
      </c>
      <c r="K157" s="102">
        <f t="shared" si="72"/>
        <v>38</v>
      </c>
      <c r="L157" s="103">
        <f t="shared" si="73"/>
        <v>3205607.1282103877</v>
      </c>
      <c r="M157" s="103">
        <f t="shared" si="74"/>
        <v>780562.68984732614</v>
      </c>
      <c r="N157" s="103">
        <f t="shared" si="75"/>
        <v>3205615.1220886176</v>
      </c>
      <c r="O157" s="103">
        <f t="shared" si="76"/>
        <v>780535.58395680424</v>
      </c>
      <c r="P157" s="105">
        <f t="shared" si="77"/>
        <v>7.9938782299868762</v>
      </c>
      <c r="Q157" s="105">
        <f t="shared" si="78"/>
        <v>-27.105890521896072</v>
      </c>
      <c r="R157" s="104">
        <f t="shared" si="79"/>
        <v>28.260067058322303</v>
      </c>
      <c r="S157" s="104" t="str">
        <f t="shared" si="80"/>
        <v>NW</v>
      </c>
      <c r="T157" s="105">
        <f t="shared" si="81"/>
        <v>0.28678326985960811</v>
      </c>
      <c r="U157" s="14">
        <f t="shared" si="82"/>
        <v>-25.883841665090628</v>
      </c>
      <c r="V157" s="14">
        <f t="shared" si="83"/>
        <v>7.633480192353467</v>
      </c>
      <c r="W157" s="103">
        <f t="shared" si="84"/>
        <v>3205614.7616905798</v>
      </c>
      <c r="X157" s="103">
        <f t="shared" si="85"/>
        <v>780536.80600566103</v>
      </c>
      <c r="Y157" s="100">
        <f t="shared" si="86"/>
        <v>28.947801477786392</v>
      </c>
      <c r="Z157" s="100">
        <f t="shared" si="87"/>
        <v>47.878163480014344</v>
      </c>
      <c r="AA157" s="100">
        <f t="shared" si="88"/>
        <v>-7.4467786390641777E-5</v>
      </c>
      <c r="AB157" s="100">
        <f t="shared" si="89"/>
        <v>-3.5402136084883296E-6</v>
      </c>
      <c r="AC157" s="100">
        <f t="shared" si="90"/>
        <v>2.633729856569289E-4</v>
      </c>
      <c r="AD157" s="100">
        <f t="shared" si="91"/>
        <v>1.2436014344530122E-5</v>
      </c>
      <c r="AE157" s="8" t="str">
        <f t="shared" si="64"/>
        <v>Good</v>
      </c>
      <c r="AF157" s="8" t="str">
        <f t="shared" si="65"/>
        <v>Good</v>
      </c>
      <c r="AG157" s="7" t="str">
        <f t="shared" si="92"/>
        <v>Good</v>
      </c>
      <c r="AI157" s="100">
        <f t="shared" si="93"/>
        <v>28.947801477786392</v>
      </c>
      <c r="AJ157" s="100">
        <f t="shared" si="94"/>
        <v>47.878163480014344</v>
      </c>
    </row>
    <row r="158" spans="1:36" x14ac:dyDescent="0.2">
      <c r="A158" s="8">
        <v>9.17</v>
      </c>
      <c r="B158" s="100">
        <v>28.947805018</v>
      </c>
      <c r="C158" s="100">
        <v>47.878151043999999</v>
      </c>
      <c r="D158" s="101">
        <v>9170.1988779535932</v>
      </c>
      <c r="E158" s="42" t="str">
        <f t="shared" si="66"/>
        <v/>
      </c>
      <c r="F158" s="7" t="str">
        <f t="shared" si="67"/>
        <v/>
      </c>
      <c r="G158" s="100" t="str">
        <f t="shared" si="68"/>
        <v/>
      </c>
      <c r="H158" s="100" t="str">
        <f t="shared" si="69"/>
        <v/>
      </c>
      <c r="I158" s="100" t="str">
        <f t="shared" si="70"/>
        <v/>
      </c>
      <c r="J158" s="100" t="str">
        <f t="shared" si="71"/>
        <v/>
      </c>
      <c r="K158" s="102" t="str">
        <f t="shared" si="72"/>
        <v/>
      </c>
      <c r="L158" s="103" t="str">
        <f t="shared" si="73"/>
        <v/>
      </c>
      <c r="M158" s="103" t="str">
        <f t="shared" si="74"/>
        <v/>
      </c>
      <c r="N158" s="103" t="str">
        <f t="shared" si="75"/>
        <v/>
      </c>
      <c r="O158" s="103" t="str">
        <f t="shared" si="76"/>
        <v/>
      </c>
      <c r="P158" s="105" t="str">
        <f t="shared" si="77"/>
        <v/>
      </c>
      <c r="Q158" s="105" t="str">
        <f t="shared" si="78"/>
        <v/>
      </c>
      <c r="R158" s="104" t="str">
        <f t="shared" si="79"/>
        <v/>
      </c>
      <c r="S158" s="104" t="str">
        <f t="shared" si="80"/>
        <v/>
      </c>
      <c r="T158" s="105" t="str">
        <f t="shared" si="81"/>
        <v/>
      </c>
      <c r="U158" s="14" t="str">
        <f t="shared" si="82"/>
        <v/>
      </c>
      <c r="V158" s="14" t="str">
        <f t="shared" si="83"/>
        <v/>
      </c>
      <c r="W158" s="103" t="str">
        <f t="shared" si="84"/>
        <v/>
      </c>
      <c r="X158" s="103" t="str">
        <f t="shared" si="85"/>
        <v/>
      </c>
      <c r="Y158" s="100" t="str">
        <f t="shared" si="86"/>
        <v/>
      </c>
      <c r="Z158" s="100" t="str">
        <f t="shared" si="87"/>
        <v/>
      </c>
      <c r="AA158" s="100" t="e">
        <f t="shared" si="88"/>
        <v>#VALUE!</v>
      </c>
      <c r="AB158" s="100" t="e">
        <f t="shared" si="89"/>
        <v>#VALUE!</v>
      </c>
      <c r="AC158" s="100" t="e">
        <f t="shared" si="90"/>
        <v>#VALUE!</v>
      </c>
      <c r="AD158" s="100" t="e">
        <f t="shared" si="91"/>
        <v>#VALUE!</v>
      </c>
      <c r="AE158" s="8" t="str">
        <f t="shared" si="64"/>
        <v/>
      </c>
      <c r="AF158" s="8" t="str">
        <f t="shared" si="65"/>
        <v/>
      </c>
      <c r="AG158" s="7" t="str">
        <f t="shared" si="92"/>
        <v>Good</v>
      </c>
      <c r="AI158" s="100">
        <f t="shared" si="93"/>
        <v>28.947805018</v>
      </c>
      <c r="AJ158" s="100">
        <f t="shared" si="94"/>
        <v>47.878151043999999</v>
      </c>
    </row>
    <row r="159" spans="1:36" x14ac:dyDescent="0.2">
      <c r="A159" s="8">
        <v>9.1890000000000001</v>
      </c>
      <c r="B159" s="100">
        <v>28.947847709000001</v>
      </c>
      <c r="C159" s="100">
        <v>47.877965443000001</v>
      </c>
      <c r="D159" s="101">
        <v>9188.8593263308067</v>
      </c>
      <c r="E159" s="42" t="str">
        <f t="shared" si="66"/>
        <v/>
      </c>
      <c r="F159" s="7" t="str">
        <f t="shared" si="67"/>
        <v/>
      </c>
      <c r="G159" s="100" t="str">
        <f t="shared" si="68"/>
        <v/>
      </c>
      <c r="H159" s="100" t="str">
        <f t="shared" si="69"/>
        <v/>
      </c>
      <c r="I159" s="100" t="str">
        <f t="shared" si="70"/>
        <v/>
      </c>
      <c r="J159" s="100" t="str">
        <f t="shared" si="71"/>
        <v/>
      </c>
      <c r="K159" s="102" t="str">
        <f t="shared" si="72"/>
        <v/>
      </c>
      <c r="L159" s="103" t="str">
        <f t="shared" si="73"/>
        <v/>
      </c>
      <c r="M159" s="103" t="str">
        <f t="shared" si="74"/>
        <v/>
      </c>
      <c r="N159" s="103" t="str">
        <f t="shared" si="75"/>
        <v/>
      </c>
      <c r="O159" s="103" t="str">
        <f t="shared" si="76"/>
        <v/>
      </c>
      <c r="P159" s="105" t="str">
        <f t="shared" si="77"/>
        <v/>
      </c>
      <c r="Q159" s="105" t="str">
        <f t="shared" si="78"/>
        <v/>
      </c>
      <c r="R159" s="104" t="str">
        <f t="shared" si="79"/>
        <v/>
      </c>
      <c r="S159" s="104" t="str">
        <f t="shared" si="80"/>
        <v/>
      </c>
      <c r="T159" s="105" t="str">
        <f t="shared" si="81"/>
        <v/>
      </c>
      <c r="U159" s="14" t="str">
        <f t="shared" si="82"/>
        <v/>
      </c>
      <c r="V159" s="14" t="str">
        <f t="shared" si="83"/>
        <v/>
      </c>
      <c r="W159" s="103" t="str">
        <f t="shared" si="84"/>
        <v/>
      </c>
      <c r="X159" s="103" t="str">
        <f t="shared" si="85"/>
        <v/>
      </c>
      <c r="Y159" s="100" t="str">
        <f t="shared" si="86"/>
        <v/>
      </c>
      <c r="Z159" s="100" t="str">
        <f t="shared" si="87"/>
        <v/>
      </c>
      <c r="AA159" s="100" t="e">
        <f t="shared" si="88"/>
        <v>#VALUE!</v>
      </c>
      <c r="AB159" s="100" t="e">
        <f t="shared" si="89"/>
        <v>#VALUE!</v>
      </c>
      <c r="AC159" s="100" t="e">
        <f t="shared" si="90"/>
        <v>#VALUE!</v>
      </c>
      <c r="AD159" s="100" t="e">
        <f t="shared" si="91"/>
        <v>#VALUE!</v>
      </c>
      <c r="AE159" s="8" t="str">
        <f t="shared" si="64"/>
        <v/>
      </c>
      <c r="AF159" s="8" t="str">
        <f t="shared" si="65"/>
        <v/>
      </c>
      <c r="AG159" s="7" t="str">
        <f t="shared" si="92"/>
        <v>Good</v>
      </c>
      <c r="AI159" s="100">
        <f t="shared" si="93"/>
        <v>28.947847709000001</v>
      </c>
      <c r="AJ159" s="100">
        <f t="shared" si="94"/>
        <v>47.877965443000001</v>
      </c>
    </row>
    <row r="160" spans="1:36" x14ac:dyDescent="0.2">
      <c r="A160" s="8">
        <v>9.3729999999999993</v>
      </c>
      <c r="B160" s="100">
        <v>28.948341471999999</v>
      </c>
      <c r="C160" s="100">
        <v>47.876153258999999</v>
      </c>
      <c r="D160" s="101">
        <v>9373.4137571562296</v>
      </c>
      <c r="E160" s="42" t="str">
        <f t="shared" si="66"/>
        <v/>
      </c>
      <c r="F160" s="7" t="str">
        <f t="shared" si="67"/>
        <v/>
      </c>
      <c r="G160" s="100" t="str">
        <f t="shared" si="68"/>
        <v/>
      </c>
      <c r="H160" s="100" t="str">
        <f t="shared" si="69"/>
        <v/>
      </c>
      <c r="I160" s="100" t="str">
        <f t="shared" si="70"/>
        <v/>
      </c>
      <c r="J160" s="100" t="str">
        <f t="shared" si="71"/>
        <v/>
      </c>
      <c r="K160" s="102" t="str">
        <f t="shared" si="72"/>
        <v/>
      </c>
      <c r="L160" s="103" t="str">
        <f t="shared" si="73"/>
        <v/>
      </c>
      <c r="M160" s="103" t="str">
        <f t="shared" si="74"/>
        <v/>
      </c>
      <c r="N160" s="103" t="str">
        <f t="shared" si="75"/>
        <v/>
      </c>
      <c r="O160" s="103" t="str">
        <f t="shared" si="76"/>
        <v/>
      </c>
      <c r="P160" s="105" t="str">
        <f t="shared" si="77"/>
        <v/>
      </c>
      <c r="Q160" s="105" t="str">
        <f t="shared" si="78"/>
        <v/>
      </c>
      <c r="R160" s="104" t="str">
        <f t="shared" si="79"/>
        <v/>
      </c>
      <c r="S160" s="104" t="str">
        <f t="shared" si="80"/>
        <v/>
      </c>
      <c r="T160" s="105" t="str">
        <f t="shared" si="81"/>
        <v/>
      </c>
      <c r="U160" s="14" t="str">
        <f t="shared" si="82"/>
        <v/>
      </c>
      <c r="V160" s="14" t="str">
        <f t="shared" si="83"/>
        <v/>
      </c>
      <c r="W160" s="103" t="str">
        <f t="shared" si="84"/>
        <v/>
      </c>
      <c r="X160" s="103" t="str">
        <f t="shared" si="85"/>
        <v/>
      </c>
      <c r="Y160" s="100" t="str">
        <f t="shared" si="86"/>
        <v/>
      </c>
      <c r="Z160" s="100" t="str">
        <f t="shared" si="87"/>
        <v/>
      </c>
      <c r="AA160" s="100" t="e">
        <f t="shared" si="88"/>
        <v>#VALUE!</v>
      </c>
      <c r="AB160" s="100" t="e">
        <f t="shared" si="89"/>
        <v>#VALUE!</v>
      </c>
      <c r="AC160" s="100" t="e">
        <f t="shared" si="90"/>
        <v>#VALUE!</v>
      </c>
      <c r="AD160" s="100" t="e">
        <f t="shared" si="91"/>
        <v>#VALUE!</v>
      </c>
      <c r="AE160" s="8" t="str">
        <f t="shared" si="64"/>
        <v/>
      </c>
      <c r="AF160" s="8" t="str">
        <f t="shared" si="65"/>
        <v/>
      </c>
      <c r="AG160" s="7" t="str">
        <f t="shared" si="92"/>
        <v>Good</v>
      </c>
      <c r="AI160" s="100">
        <f t="shared" si="93"/>
        <v>28.948341471999999</v>
      </c>
      <c r="AJ160" s="100">
        <f t="shared" si="94"/>
        <v>47.876153258999999</v>
      </c>
    </row>
    <row r="161" spans="1:36" x14ac:dyDescent="0.2">
      <c r="A161" s="8">
        <v>9.3759999999999994</v>
      </c>
      <c r="B161" s="100">
        <v>28.94831963</v>
      </c>
      <c r="C161" s="100">
        <v>47.876152722</v>
      </c>
      <c r="D161" s="101">
        <v>9375.8417901569974</v>
      </c>
      <c r="E161" s="42" t="str">
        <f t="shared" si="66"/>
        <v/>
      </c>
      <c r="F161" s="7" t="str">
        <f t="shared" si="67"/>
        <v/>
      </c>
      <c r="G161" s="100" t="str">
        <f t="shared" si="68"/>
        <v/>
      </c>
      <c r="H161" s="100" t="str">
        <f t="shared" si="69"/>
        <v/>
      </c>
      <c r="I161" s="100" t="str">
        <f t="shared" si="70"/>
        <v/>
      </c>
      <c r="J161" s="100" t="str">
        <f t="shared" si="71"/>
        <v/>
      </c>
      <c r="K161" s="102" t="str">
        <f t="shared" si="72"/>
        <v/>
      </c>
      <c r="L161" s="103" t="str">
        <f t="shared" si="73"/>
        <v/>
      </c>
      <c r="M161" s="103" t="str">
        <f t="shared" si="74"/>
        <v/>
      </c>
      <c r="N161" s="103" t="str">
        <f t="shared" si="75"/>
        <v/>
      </c>
      <c r="O161" s="103" t="str">
        <f t="shared" si="76"/>
        <v/>
      </c>
      <c r="P161" s="105" t="str">
        <f t="shared" si="77"/>
        <v/>
      </c>
      <c r="Q161" s="105" t="str">
        <f t="shared" si="78"/>
        <v/>
      </c>
      <c r="R161" s="104" t="str">
        <f t="shared" si="79"/>
        <v/>
      </c>
      <c r="S161" s="104" t="str">
        <f t="shared" si="80"/>
        <v/>
      </c>
      <c r="T161" s="105" t="str">
        <f t="shared" si="81"/>
        <v/>
      </c>
      <c r="U161" s="14" t="str">
        <f t="shared" si="82"/>
        <v/>
      </c>
      <c r="V161" s="14" t="str">
        <f t="shared" si="83"/>
        <v/>
      </c>
      <c r="W161" s="103" t="str">
        <f t="shared" si="84"/>
        <v/>
      </c>
      <c r="X161" s="103" t="str">
        <f t="shared" si="85"/>
        <v/>
      </c>
      <c r="Y161" s="100" t="str">
        <f t="shared" si="86"/>
        <v/>
      </c>
      <c r="Z161" s="100" t="str">
        <f t="shared" si="87"/>
        <v/>
      </c>
      <c r="AA161" s="100" t="e">
        <f t="shared" si="88"/>
        <v>#VALUE!</v>
      </c>
      <c r="AB161" s="100" t="e">
        <f t="shared" si="89"/>
        <v>#VALUE!</v>
      </c>
      <c r="AC161" s="100" t="e">
        <f t="shared" si="90"/>
        <v>#VALUE!</v>
      </c>
      <c r="AD161" s="100" t="e">
        <f t="shared" si="91"/>
        <v>#VALUE!</v>
      </c>
      <c r="AE161" s="8" t="str">
        <f t="shared" si="64"/>
        <v/>
      </c>
      <c r="AF161" s="8" t="str">
        <f t="shared" si="65"/>
        <v/>
      </c>
      <c r="AG161" s="7" t="str">
        <f t="shared" si="92"/>
        <v>Good</v>
      </c>
      <c r="AI161" s="100">
        <f t="shared" si="93"/>
        <v>28.94831963</v>
      </c>
      <c r="AJ161" s="100">
        <f t="shared" si="94"/>
        <v>47.876152722</v>
      </c>
    </row>
    <row r="162" spans="1:36" x14ac:dyDescent="0.2">
      <c r="A162" s="8">
        <v>9.4670000000000005</v>
      </c>
      <c r="B162" s="100">
        <v>28.948563049000001</v>
      </c>
      <c r="C162" s="100">
        <v>47.875254839999997</v>
      </c>
      <c r="D162" s="101">
        <v>9467.2422049787383</v>
      </c>
      <c r="E162" s="42" t="str">
        <f t="shared" si="66"/>
        <v/>
      </c>
      <c r="F162" s="7" t="str">
        <f t="shared" si="67"/>
        <v/>
      </c>
      <c r="G162" s="100" t="str">
        <f t="shared" si="68"/>
        <v/>
      </c>
      <c r="H162" s="100" t="str">
        <f t="shared" si="69"/>
        <v/>
      </c>
      <c r="I162" s="100" t="str">
        <f t="shared" si="70"/>
        <v/>
      </c>
      <c r="J162" s="100" t="str">
        <f t="shared" si="71"/>
        <v/>
      </c>
      <c r="K162" s="102" t="str">
        <f t="shared" si="72"/>
        <v/>
      </c>
      <c r="L162" s="103" t="str">
        <f t="shared" si="73"/>
        <v/>
      </c>
      <c r="M162" s="103" t="str">
        <f t="shared" si="74"/>
        <v/>
      </c>
      <c r="N162" s="103" t="str">
        <f t="shared" si="75"/>
        <v/>
      </c>
      <c r="O162" s="103" t="str">
        <f t="shared" si="76"/>
        <v/>
      </c>
      <c r="P162" s="105" t="str">
        <f t="shared" si="77"/>
        <v/>
      </c>
      <c r="Q162" s="105" t="str">
        <f t="shared" si="78"/>
        <v/>
      </c>
      <c r="R162" s="104" t="str">
        <f t="shared" si="79"/>
        <v/>
      </c>
      <c r="S162" s="104" t="str">
        <f t="shared" si="80"/>
        <v/>
      </c>
      <c r="T162" s="105" t="str">
        <f t="shared" si="81"/>
        <v/>
      </c>
      <c r="U162" s="14" t="str">
        <f t="shared" si="82"/>
        <v/>
      </c>
      <c r="V162" s="14" t="str">
        <f t="shared" si="83"/>
        <v/>
      </c>
      <c r="W162" s="103" t="str">
        <f t="shared" si="84"/>
        <v/>
      </c>
      <c r="X162" s="103" t="str">
        <f t="shared" si="85"/>
        <v/>
      </c>
      <c r="Y162" s="100" t="str">
        <f t="shared" si="86"/>
        <v/>
      </c>
      <c r="Z162" s="100" t="str">
        <f t="shared" si="87"/>
        <v/>
      </c>
      <c r="AA162" s="100" t="e">
        <f t="shared" si="88"/>
        <v>#VALUE!</v>
      </c>
      <c r="AB162" s="100" t="e">
        <f t="shared" si="89"/>
        <v>#VALUE!</v>
      </c>
      <c r="AC162" s="100" t="e">
        <f t="shared" si="90"/>
        <v>#VALUE!</v>
      </c>
      <c r="AD162" s="100" t="e">
        <f t="shared" si="91"/>
        <v>#VALUE!</v>
      </c>
      <c r="AE162" s="8" t="str">
        <f t="shared" si="64"/>
        <v/>
      </c>
      <c r="AF162" s="8" t="str">
        <f t="shared" si="65"/>
        <v/>
      </c>
      <c r="AG162" s="7" t="str">
        <f t="shared" si="92"/>
        <v>Good</v>
      </c>
      <c r="AI162" s="100">
        <f t="shared" si="93"/>
        <v>28.948563049000001</v>
      </c>
      <c r="AJ162" s="100">
        <f t="shared" si="94"/>
        <v>47.875254839999997</v>
      </c>
    </row>
    <row r="163" spans="1:36" x14ac:dyDescent="0.2">
      <c r="A163" s="8">
        <v>9.4719999999999995</v>
      </c>
      <c r="B163" s="100">
        <v>28.948564649000001</v>
      </c>
      <c r="C163" s="100">
        <v>47.875202602000002</v>
      </c>
      <c r="D163" s="101">
        <v>9472.3255610486449</v>
      </c>
      <c r="E163" s="42" t="str">
        <f t="shared" si="66"/>
        <v/>
      </c>
      <c r="F163" s="7" t="str">
        <f t="shared" si="67"/>
        <v/>
      </c>
      <c r="G163" s="100" t="str">
        <f t="shared" si="68"/>
        <v/>
      </c>
      <c r="H163" s="100" t="str">
        <f t="shared" si="69"/>
        <v/>
      </c>
      <c r="I163" s="100" t="str">
        <f t="shared" si="70"/>
        <v/>
      </c>
      <c r="J163" s="100" t="str">
        <f t="shared" si="71"/>
        <v/>
      </c>
      <c r="K163" s="102" t="str">
        <f t="shared" si="72"/>
        <v/>
      </c>
      <c r="L163" s="103" t="str">
        <f t="shared" si="73"/>
        <v/>
      </c>
      <c r="M163" s="103" t="str">
        <f t="shared" si="74"/>
        <v/>
      </c>
      <c r="N163" s="103" t="str">
        <f t="shared" si="75"/>
        <v/>
      </c>
      <c r="O163" s="103" t="str">
        <f t="shared" si="76"/>
        <v/>
      </c>
      <c r="P163" s="105" t="str">
        <f t="shared" si="77"/>
        <v/>
      </c>
      <c r="Q163" s="105" t="str">
        <f t="shared" si="78"/>
        <v/>
      </c>
      <c r="R163" s="104" t="str">
        <f t="shared" si="79"/>
        <v/>
      </c>
      <c r="S163" s="104" t="str">
        <f t="shared" si="80"/>
        <v/>
      </c>
      <c r="T163" s="105" t="str">
        <f t="shared" si="81"/>
        <v/>
      </c>
      <c r="U163" s="14" t="str">
        <f t="shared" si="82"/>
        <v/>
      </c>
      <c r="V163" s="14" t="str">
        <f t="shared" si="83"/>
        <v/>
      </c>
      <c r="W163" s="103" t="str">
        <f t="shared" si="84"/>
        <v/>
      </c>
      <c r="X163" s="103" t="str">
        <f t="shared" si="85"/>
        <v/>
      </c>
      <c r="Y163" s="100" t="str">
        <f t="shared" si="86"/>
        <v/>
      </c>
      <c r="Z163" s="100" t="str">
        <f t="shared" si="87"/>
        <v/>
      </c>
      <c r="AA163" s="100" t="e">
        <f t="shared" si="88"/>
        <v>#VALUE!</v>
      </c>
      <c r="AB163" s="100" t="e">
        <f t="shared" si="89"/>
        <v>#VALUE!</v>
      </c>
      <c r="AC163" s="100" t="e">
        <f t="shared" si="90"/>
        <v>#VALUE!</v>
      </c>
      <c r="AD163" s="100" t="e">
        <f t="shared" si="91"/>
        <v>#VALUE!</v>
      </c>
      <c r="AE163" s="8" t="str">
        <f t="shared" si="64"/>
        <v/>
      </c>
      <c r="AF163" s="8" t="str">
        <f t="shared" si="65"/>
        <v/>
      </c>
      <c r="AG163" s="7" t="str">
        <f t="shared" si="92"/>
        <v>Good</v>
      </c>
      <c r="AI163" s="100">
        <f t="shared" si="93"/>
        <v>28.948564649000001</v>
      </c>
      <c r="AJ163" s="100">
        <f t="shared" si="94"/>
        <v>47.875202602000002</v>
      </c>
    </row>
    <row r="164" spans="1:36" x14ac:dyDescent="0.2">
      <c r="A164" s="8">
        <v>9.4939999999999998</v>
      </c>
      <c r="B164" s="100">
        <v>28.948621318000001</v>
      </c>
      <c r="C164" s="100">
        <v>47.874986462999999</v>
      </c>
      <c r="D164" s="101">
        <v>9494.2647977491142</v>
      </c>
      <c r="E164" s="42" t="str">
        <f t="shared" si="66"/>
        <v/>
      </c>
      <c r="F164" s="7" t="str">
        <f t="shared" si="67"/>
        <v/>
      </c>
      <c r="G164" s="100" t="str">
        <f t="shared" si="68"/>
        <v/>
      </c>
      <c r="H164" s="100" t="str">
        <f t="shared" si="69"/>
        <v/>
      </c>
      <c r="I164" s="100" t="str">
        <f t="shared" si="70"/>
        <v/>
      </c>
      <c r="J164" s="100" t="str">
        <f t="shared" si="71"/>
        <v/>
      </c>
      <c r="K164" s="102" t="str">
        <f t="shared" si="72"/>
        <v/>
      </c>
      <c r="L164" s="103" t="str">
        <f t="shared" si="73"/>
        <v/>
      </c>
      <c r="M164" s="103" t="str">
        <f t="shared" si="74"/>
        <v/>
      </c>
      <c r="N164" s="103" t="str">
        <f t="shared" si="75"/>
        <v/>
      </c>
      <c r="O164" s="103" t="str">
        <f t="shared" si="76"/>
        <v/>
      </c>
      <c r="P164" s="105" t="str">
        <f t="shared" si="77"/>
        <v/>
      </c>
      <c r="Q164" s="105" t="str">
        <f t="shared" si="78"/>
        <v/>
      </c>
      <c r="R164" s="104" t="str">
        <f t="shared" si="79"/>
        <v/>
      </c>
      <c r="S164" s="104" t="str">
        <f t="shared" si="80"/>
        <v/>
      </c>
      <c r="T164" s="105" t="str">
        <f t="shared" si="81"/>
        <v/>
      </c>
      <c r="U164" s="14" t="str">
        <f t="shared" si="82"/>
        <v/>
      </c>
      <c r="V164" s="14" t="str">
        <f t="shared" si="83"/>
        <v/>
      </c>
      <c r="W164" s="103" t="str">
        <f t="shared" si="84"/>
        <v/>
      </c>
      <c r="X164" s="103" t="str">
        <f t="shared" si="85"/>
        <v/>
      </c>
      <c r="Y164" s="100" t="str">
        <f t="shared" si="86"/>
        <v/>
      </c>
      <c r="Z164" s="100" t="str">
        <f t="shared" si="87"/>
        <v/>
      </c>
      <c r="AA164" s="100" t="e">
        <f t="shared" si="88"/>
        <v>#VALUE!</v>
      </c>
      <c r="AB164" s="100" t="e">
        <f t="shared" si="89"/>
        <v>#VALUE!</v>
      </c>
      <c r="AC164" s="100" t="e">
        <f t="shared" si="90"/>
        <v>#VALUE!</v>
      </c>
      <c r="AD164" s="100" t="e">
        <f t="shared" si="91"/>
        <v>#VALUE!</v>
      </c>
      <c r="AE164" s="8" t="str">
        <f t="shared" si="64"/>
        <v/>
      </c>
      <c r="AF164" s="8" t="str">
        <f t="shared" si="65"/>
        <v/>
      </c>
      <c r="AG164" s="7" t="str">
        <f t="shared" si="92"/>
        <v>Good</v>
      </c>
      <c r="AI164" s="100">
        <f t="shared" si="93"/>
        <v>28.948621318000001</v>
      </c>
      <c r="AJ164" s="100">
        <f t="shared" si="94"/>
        <v>47.874986462999999</v>
      </c>
    </row>
    <row r="165" spans="1:36" x14ac:dyDescent="0.2">
      <c r="A165" s="8">
        <v>9.7870000000000008</v>
      </c>
      <c r="B165" s="100">
        <v>28.949371477</v>
      </c>
      <c r="C165" s="100">
        <v>47.872099405999997</v>
      </c>
      <c r="D165" s="101">
        <v>9787.1035769529026</v>
      </c>
      <c r="E165" s="42" t="str">
        <f t="shared" si="66"/>
        <v/>
      </c>
      <c r="F165" s="7" t="str">
        <f t="shared" si="67"/>
        <v/>
      </c>
      <c r="G165" s="100" t="str">
        <f t="shared" si="68"/>
        <v/>
      </c>
      <c r="H165" s="100" t="str">
        <f t="shared" si="69"/>
        <v/>
      </c>
      <c r="I165" s="100" t="str">
        <f t="shared" si="70"/>
        <v/>
      </c>
      <c r="J165" s="100" t="str">
        <f t="shared" si="71"/>
        <v/>
      </c>
      <c r="K165" s="102" t="str">
        <f t="shared" si="72"/>
        <v/>
      </c>
      <c r="L165" s="103" t="str">
        <f t="shared" si="73"/>
        <v/>
      </c>
      <c r="M165" s="103" t="str">
        <f t="shared" si="74"/>
        <v/>
      </c>
      <c r="N165" s="103" t="str">
        <f t="shared" si="75"/>
        <v/>
      </c>
      <c r="O165" s="103" t="str">
        <f t="shared" si="76"/>
        <v/>
      </c>
      <c r="P165" s="105" t="str">
        <f t="shared" si="77"/>
        <v/>
      </c>
      <c r="Q165" s="105" t="str">
        <f t="shared" si="78"/>
        <v/>
      </c>
      <c r="R165" s="104" t="str">
        <f t="shared" si="79"/>
        <v/>
      </c>
      <c r="S165" s="104" t="str">
        <f t="shared" si="80"/>
        <v/>
      </c>
      <c r="T165" s="105" t="str">
        <f t="shared" si="81"/>
        <v/>
      </c>
      <c r="U165" s="14" t="str">
        <f t="shared" si="82"/>
        <v/>
      </c>
      <c r="V165" s="14" t="str">
        <f t="shared" si="83"/>
        <v/>
      </c>
      <c r="W165" s="103" t="str">
        <f t="shared" si="84"/>
        <v/>
      </c>
      <c r="X165" s="103" t="str">
        <f t="shared" si="85"/>
        <v/>
      </c>
      <c r="Y165" s="100" t="str">
        <f t="shared" si="86"/>
        <v/>
      </c>
      <c r="Z165" s="100" t="str">
        <f t="shared" si="87"/>
        <v/>
      </c>
      <c r="AA165" s="100" t="e">
        <f t="shared" si="88"/>
        <v>#VALUE!</v>
      </c>
      <c r="AB165" s="100" t="e">
        <f t="shared" si="89"/>
        <v>#VALUE!</v>
      </c>
      <c r="AC165" s="100" t="e">
        <f t="shared" si="90"/>
        <v>#VALUE!</v>
      </c>
      <c r="AD165" s="100" t="e">
        <f t="shared" si="91"/>
        <v>#VALUE!</v>
      </c>
      <c r="AE165" s="8" t="str">
        <f t="shared" si="64"/>
        <v/>
      </c>
      <c r="AF165" s="8" t="str">
        <f t="shared" si="65"/>
        <v/>
      </c>
      <c r="AG165" s="7" t="str">
        <f t="shared" si="92"/>
        <v>Good</v>
      </c>
      <c r="AI165" s="100">
        <f t="shared" si="93"/>
        <v>28.949371477</v>
      </c>
      <c r="AJ165" s="100">
        <f t="shared" si="94"/>
        <v>47.872099405999997</v>
      </c>
    </row>
    <row r="166" spans="1:36" x14ac:dyDescent="0.2">
      <c r="A166" s="8">
        <v>10.026999999999999</v>
      </c>
      <c r="B166" s="100">
        <v>28.949931838000001</v>
      </c>
      <c r="C166" s="100">
        <v>47.869712464999999</v>
      </c>
      <c r="D166" s="101">
        <v>10027.404881523455</v>
      </c>
      <c r="E166" s="42" t="str">
        <f t="shared" si="66"/>
        <v/>
      </c>
      <c r="F166" s="7" t="str">
        <f t="shared" si="67"/>
        <v/>
      </c>
      <c r="G166" s="100" t="str">
        <f t="shared" si="68"/>
        <v/>
      </c>
      <c r="H166" s="100" t="str">
        <f t="shared" si="69"/>
        <v/>
      </c>
      <c r="I166" s="100" t="str">
        <f t="shared" si="70"/>
        <v/>
      </c>
      <c r="J166" s="100" t="str">
        <f t="shared" si="71"/>
        <v/>
      </c>
      <c r="K166" s="102" t="str">
        <f t="shared" si="72"/>
        <v/>
      </c>
      <c r="L166" s="103" t="str">
        <f t="shared" si="73"/>
        <v/>
      </c>
      <c r="M166" s="103" t="str">
        <f t="shared" si="74"/>
        <v/>
      </c>
      <c r="N166" s="103" t="str">
        <f t="shared" si="75"/>
        <v/>
      </c>
      <c r="O166" s="103" t="str">
        <f t="shared" si="76"/>
        <v/>
      </c>
      <c r="P166" s="105" t="str">
        <f t="shared" si="77"/>
        <v/>
      </c>
      <c r="Q166" s="105" t="str">
        <f t="shared" si="78"/>
        <v/>
      </c>
      <c r="R166" s="104" t="str">
        <f t="shared" si="79"/>
        <v/>
      </c>
      <c r="S166" s="104" t="str">
        <f t="shared" si="80"/>
        <v/>
      </c>
      <c r="T166" s="105" t="str">
        <f t="shared" si="81"/>
        <v/>
      </c>
      <c r="U166" s="14" t="str">
        <f t="shared" si="82"/>
        <v/>
      </c>
      <c r="V166" s="14" t="str">
        <f t="shared" si="83"/>
        <v/>
      </c>
      <c r="W166" s="103" t="str">
        <f t="shared" si="84"/>
        <v/>
      </c>
      <c r="X166" s="103" t="str">
        <f t="shared" si="85"/>
        <v/>
      </c>
      <c r="Y166" s="100" t="str">
        <f t="shared" si="86"/>
        <v/>
      </c>
      <c r="Z166" s="100" t="str">
        <f t="shared" si="87"/>
        <v/>
      </c>
      <c r="AA166" s="100" t="e">
        <f t="shared" si="88"/>
        <v>#VALUE!</v>
      </c>
      <c r="AB166" s="100" t="e">
        <f t="shared" si="89"/>
        <v>#VALUE!</v>
      </c>
      <c r="AC166" s="100" t="e">
        <f t="shared" si="90"/>
        <v>#VALUE!</v>
      </c>
      <c r="AD166" s="100" t="e">
        <f t="shared" si="91"/>
        <v>#VALUE!</v>
      </c>
      <c r="AE166" s="8" t="str">
        <f t="shared" si="64"/>
        <v/>
      </c>
      <c r="AF166" s="8" t="str">
        <f t="shared" si="65"/>
        <v/>
      </c>
      <c r="AG166" s="7" t="str">
        <f t="shared" si="92"/>
        <v>Good</v>
      </c>
      <c r="AI166" s="100">
        <f t="shared" si="93"/>
        <v>28.949931838000001</v>
      </c>
      <c r="AJ166" s="100">
        <f t="shared" si="94"/>
        <v>47.869712464999999</v>
      </c>
    </row>
    <row r="167" spans="1:36" x14ac:dyDescent="0.2">
      <c r="A167" s="8">
        <v>10.159000000000001</v>
      </c>
      <c r="D167" s="101">
        <v>10159</v>
      </c>
      <c r="E167" s="42">
        <f t="shared" si="66"/>
        <v>131.59511847654539</v>
      </c>
      <c r="F167" s="7">
        <f t="shared" si="67"/>
        <v>1</v>
      </c>
      <c r="G167" s="100">
        <f t="shared" si="68"/>
        <v>28.949931838000001</v>
      </c>
      <c r="H167" s="100">
        <f t="shared" si="69"/>
        <v>47.869712464999999</v>
      </c>
      <c r="I167" s="100">
        <f t="shared" si="70"/>
        <v>28.950331404</v>
      </c>
      <c r="J167" s="100">
        <f t="shared" si="71"/>
        <v>47.868422498000001</v>
      </c>
      <c r="K167" s="102">
        <f t="shared" si="72"/>
        <v>38</v>
      </c>
      <c r="L167" s="103">
        <f t="shared" si="73"/>
        <v>3205830.9170963662</v>
      </c>
      <c r="M167" s="103">
        <f t="shared" si="74"/>
        <v>779706.97943617566</v>
      </c>
      <c r="N167" s="103">
        <f t="shared" si="75"/>
        <v>3205872.1634781375</v>
      </c>
      <c r="O167" s="103">
        <f t="shared" si="76"/>
        <v>779580.1174923965</v>
      </c>
      <c r="P167" s="105">
        <f t="shared" si="77"/>
        <v>41.246381771285087</v>
      </c>
      <c r="Q167" s="105">
        <f t="shared" si="78"/>
        <v>-126.86194377916399</v>
      </c>
      <c r="R167" s="104">
        <f t="shared" si="79"/>
        <v>133.398713594436</v>
      </c>
      <c r="S167" s="104" t="str">
        <f t="shared" si="80"/>
        <v>NW</v>
      </c>
      <c r="T167" s="105">
        <f t="shared" si="81"/>
        <v>0.31434774986118247</v>
      </c>
      <c r="U167" s="14">
        <f t="shared" si="82"/>
        <v>-125.14672797024815</v>
      </c>
      <c r="V167" s="14">
        <f t="shared" si="83"/>
        <v>40.688716927383297</v>
      </c>
      <c r="W167" s="103">
        <f t="shared" si="84"/>
        <v>3205871.6058132937</v>
      </c>
      <c r="X167" s="103">
        <f t="shared" si="85"/>
        <v>779581.83270820545</v>
      </c>
      <c r="Y167" s="100">
        <f t="shared" si="86"/>
        <v>28.950325978293709</v>
      </c>
      <c r="Z167" s="100">
        <f t="shared" si="87"/>
        <v>47.868439940167661</v>
      </c>
      <c r="AA167" s="100">
        <f t="shared" si="88"/>
        <v>-3.9414029370732351E-4</v>
      </c>
      <c r="AB167" s="100">
        <f t="shared" si="89"/>
        <v>-5.4257062913620757E-6</v>
      </c>
      <c r="AC167" s="100">
        <f t="shared" si="90"/>
        <v>1.2725248323377514E-3</v>
      </c>
      <c r="AD167" s="100">
        <f t="shared" si="91"/>
        <v>1.7442167660419727E-5</v>
      </c>
      <c r="AE167" s="8" t="str">
        <f t="shared" si="64"/>
        <v>Good</v>
      </c>
      <c r="AF167" s="8" t="str">
        <f t="shared" si="65"/>
        <v>Good</v>
      </c>
      <c r="AG167" s="7" t="str">
        <f t="shared" si="92"/>
        <v>Good</v>
      </c>
      <c r="AI167" s="100">
        <f t="shared" si="93"/>
        <v>28.950325978293709</v>
      </c>
      <c r="AJ167" s="100">
        <f t="shared" si="94"/>
        <v>47.868439940167661</v>
      </c>
    </row>
    <row r="168" spans="1:36" x14ac:dyDescent="0.2">
      <c r="A168" s="8">
        <v>10.16</v>
      </c>
      <c r="B168" s="100">
        <v>28.950331404</v>
      </c>
      <c r="C168" s="100">
        <v>47.868422498000001</v>
      </c>
      <c r="D168" s="101">
        <v>10160.460474430725</v>
      </c>
      <c r="E168" s="42" t="str">
        <f t="shared" si="66"/>
        <v/>
      </c>
      <c r="F168" s="7" t="str">
        <f t="shared" si="67"/>
        <v/>
      </c>
      <c r="G168" s="100" t="str">
        <f t="shared" si="68"/>
        <v/>
      </c>
      <c r="H168" s="100" t="str">
        <f t="shared" si="69"/>
        <v/>
      </c>
      <c r="I168" s="100" t="str">
        <f t="shared" si="70"/>
        <v/>
      </c>
      <c r="J168" s="100" t="str">
        <f t="shared" si="71"/>
        <v/>
      </c>
      <c r="K168" s="102" t="str">
        <f t="shared" si="72"/>
        <v/>
      </c>
      <c r="L168" s="103" t="str">
        <f t="shared" si="73"/>
        <v/>
      </c>
      <c r="M168" s="103" t="str">
        <f t="shared" si="74"/>
        <v/>
      </c>
      <c r="N168" s="103" t="str">
        <f t="shared" si="75"/>
        <v/>
      </c>
      <c r="O168" s="103" t="str">
        <f t="shared" si="76"/>
        <v/>
      </c>
      <c r="P168" s="105" t="str">
        <f t="shared" si="77"/>
        <v/>
      </c>
      <c r="Q168" s="105" t="str">
        <f t="shared" si="78"/>
        <v/>
      </c>
      <c r="R168" s="104" t="str">
        <f t="shared" si="79"/>
        <v/>
      </c>
      <c r="S168" s="104" t="str">
        <f t="shared" si="80"/>
        <v/>
      </c>
      <c r="T168" s="105" t="str">
        <f t="shared" si="81"/>
        <v/>
      </c>
      <c r="U168" s="14" t="str">
        <f t="shared" si="82"/>
        <v/>
      </c>
      <c r="V168" s="14" t="str">
        <f t="shared" si="83"/>
        <v/>
      </c>
      <c r="W168" s="103" t="str">
        <f t="shared" si="84"/>
        <v/>
      </c>
      <c r="X168" s="103" t="str">
        <f t="shared" si="85"/>
        <v/>
      </c>
      <c r="Y168" s="100" t="str">
        <f t="shared" si="86"/>
        <v/>
      </c>
      <c r="Z168" s="100" t="str">
        <f t="shared" si="87"/>
        <v/>
      </c>
      <c r="AA168" s="100" t="e">
        <f t="shared" si="88"/>
        <v>#VALUE!</v>
      </c>
      <c r="AB168" s="100" t="e">
        <f t="shared" si="89"/>
        <v>#VALUE!</v>
      </c>
      <c r="AC168" s="100" t="e">
        <f t="shared" si="90"/>
        <v>#VALUE!</v>
      </c>
      <c r="AD168" s="100" t="e">
        <f t="shared" si="91"/>
        <v>#VALUE!</v>
      </c>
      <c r="AE168" s="8" t="str">
        <f t="shared" si="64"/>
        <v/>
      </c>
      <c r="AF168" s="8" t="str">
        <f t="shared" si="65"/>
        <v/>
      </c>
      <c r="AG168" s="7" t="str">
        <f t="shared" si="92"/>
        <v>Good</v>
      </c>
      <c r="AI168" s="100">
        <f t="shared" si="93"/>
        <v>28.950331404</v>
      </c>
      <c r="AJ168" s="100">
        <f t="shared" si="94"/>
        <v>47.868422498000001</v>
      </c>
    </row>
    <row r="169" spans="1:36" x14ac:dyDescent="0.2">
      <c r="A169" s="8">
        <v>10.308</v>
      </c>
      <c r="B169" s="100">
        <v>28.950690909999999</v>
      </c>
      <c r="C169" s="100">
        <v>47.866961781999997</v>
      </c>
      <c r="D169" s="101">
        <v>10308.00278759697</v>
      </c>
      <c r="E169" s="42" t="str">
        <f t="shared" si="66"/>
        <v/>
      </c>
      <c r="F169" s="7" t="str">
        <f t="shared" si="67"/>
        <v/>
      </c>
      <c r="G169" s="100" t="str">
        <f t="shared" si="68"/>
        <v/>
      </c>
      <c r="H169" s="100" t="str">
        <f t="shared" si="69"/>
        <v/>
      </c>
      <c r="I169" s="100" t="str">
        <f t="shared" si="70"/>
        <v/>
      </c>
      <c r="J169" s="100" t="str">
        <f t="shared" si="71"/>
        <v/>
      </c>
      <c r="K169" s="102" t="str">
        <f t="shared" si="72"/>
        <v/>
      </c>
      <c r="L169" s="103" t="str">
        <f t="shared" si="73"/>
        <v/>
      </c>
      <c r="M169" s="103" t="str">
        <f t="shared" si="74"/>
        <v/>
      </c>
      <c r="N169" s="103" t="str">
        <f t="shared" si="75"/>
        <v/>
      </c>
      <c r="O169" s="103" t="str">
        <f t="shared" si="76"/>
        <v/>
      </c>
      <c r="P169" s="105" t="str">
        <f t="shared" si="77"/>
        <v/>
      </c>
      <c r="Q169" s="105" t="str">
        <f t="shared" si="78"/>
        <v/>
      </c>
      <c r="R169" s="104" t="str">
        <f t="shared" si="79"/>
        <v/>
      </c>
      <c r="S169" s="104" t="str">
        <f t="shared" si="80"/>
        <v/>
      </c>
      <c r="T169" s="105" t="str">
        <f t="shared" si="81"/>
        <v/>
      </c>
      <c r="U169" s="14" t="str">
        <f t="shared" si="82"/>
        <v/>
      </c>
      <c r="V169" s="14" t="str">
        <f t="shared" si="83"/>
        <v/>
      </c>
      <c r="W169" s="103" t="str">
        <f t="shared" si="84"/>
        <v/>
      </c>
      <c r="X169" s="103" t="str">
        <f t="shared" si="85"/>
        <v/>
      </c>
      <c r="Y169" s="100" t="str">
        <f t="shared" si="86"/>
        <v/>
      </c>
      <c r="Z169" s="100" t="str">
        <f t="shared" si="87"/>
        <v/>
      </c>
      <c r="AA169" s="100" t="e">
        <f t="shared" si="88"/>
        <v>#VALUE!</v>
      </c>
      <c r="AB169" s="100" t="e">
        <f t="shared" si="89"/>
        <v>#VALUE!</v>
      </c>
      <c r="AC169" s="100" t="e">
        <f t="shared" si="90"/>
        <v>#VALUE!</v>
      </c>
      <c r="AD169" s="100" t="e">
        <f t="shared" si="91"/>
        <v>#VALUE!</v>
      </c>
      <c r="AE169" s="8" t="str">
        <f t="shared" si="64"/>
        <v/>
      </c>
      <c r="AF169" s="8" t="str">
        <f t="shared" si="65"/>
        <v/>
      </c>
      <c r="AG169" s="7" t="str">
        <f t="shared" si="92"/>
        <v>Good</v>
      </c>
      <c r="AI169" s="100">
        <f t="shared" si="93"/>
        <v>28.950690909999999</v>
      </c>
      <c r="AJ169" s="100">
        <f t="shared" si="94"/>
        <v>47.866961781999997</v>
      </c>
    </row>
    <row r="170" spans="1:36" x14ac:dyDescent="0.2">
      <c r="A170" s="8">
        <v>10.492000000000001</v>
      </c>
      <c r="B170" s="100">
        <v>28.951187560000001</v>
      </c>
      <c r="C170" s="100">
        <v>47.865160975999999</v>
      </c>
      <c r="D170" s="101">
        <v>10491.592755197535</v>
      </c>
      <c r="E170" s="42" t="str">
        <f t="shared" si="66"/>
        <v/>
      </c>
      <c r="F170" s="7" t="str">
        <f t="shared" si="67"/>
        <v/>
      </c>
      <c r="G170" s="100" t="str">
        <f t="shared" si="68"/>
        <v/>
      </c>
      <c r="H170" s="100" t="str">
        <f t="shared" si="69"/>
        <v/>
      </c>
      <c r="I170" s="100" t="str">
        <f t="shared" si="70"/>
        <v/>
      </c>
      <c r="J170" s="100" t="str">
        <f t="shared" si="71"/>
        <v/>
      </c>
      <c r="K170" s="102" t="str">
        <f t="shared" si="72"/>
        <v/>
      </c>
      <c r="L170" s="103" t="str">
        <f t="shared" si="73"/>
        <v/>
      </c>
      <c r="M170" s="103" t="str">
        <f t="shared" si="74"/>
        <v/>
      </c>
      <c r="N170" s="103" t="str">
        <f t="shared" si="75"/>
        <v/>
      </c>
      <c r="O170" s="103" t="str">
        <f t="shared" si="76"/>
        <v/>
      </c>
      <c r="P170" s="105" t="str">
        <f t="shared" si="77"/>
        <v/>
      </c>
      <c r="Q170" s="105" t="str">
        <f t="shared" si="78"/>
        <v/>
      </c>
      <c r="R170" s="104" t="str">
        <f t="shared" si="79"/>
        <v/>
      </c>
      <c r="S170" s="104" t="str">
        <f t="shared" si="80"/>
        <v/>
      </c>
      <c r="T170" s="105" t="str">
        <f t="shared" si="81"/>
        <v/>
      </c>
      <c r="U170" s="14" t="str">
        <f t="shared" si="82"/>
        <v/>
      </c>
      <c r="V170" s="14" t="str">
        <f t="shared" si="83"/>
        <v/>
      </c>
      <c r="W170" s="103" t="str">
        <f t="shared" si="84"/>
        <v/>
      </c>
      <c r="X170" s="103" t="str">
        <f t="shared" si="85"/>
        <v/>
      </c>
      <c r="Y170" s="100" t="str">
        <f t="shared" si="86"/>
        <v/>
      </c>
      <c r="Z170" s="100" t="str">
        <f t="shared" si="87"/>
        <v/>
      </c>
      <c r="AA170" s="100" t="e">
        <f t="shared" si="88"/>
        <v>#VALUE!</v>
      </c>
      <c r="AB170" s="100" t="e">
        <f t="shared" si="89"/>
        <v>#VALUE!</v>
      </c>
      <c r="AC170" s="100" t="e">
        <f t="shared" si="90"/>
        <v>#VALUE!</v>
      </c>
      <c r="AD170" s="100" t="e">
        <f t="shared" si="91"/>
        <v>#VALUE!</v>
      </c>
      <c r="AE170" s="8" t="str">
        <f t="shared" si="64"/>
        <v/>
      </c>
      <c r="AF170" s="8" t="str">
        <f t="shared" si="65"/>
        <v/>
      </c>
      <c r="AG170" s="7" t="str">
        <f t="shared" si="92"/>
        <v>Good</v>
      </c>
      <c r="AI170" s="100">
        <f t="shared" si="93"/>
        <v>28.951187560000001</v>
      </c>
      <c r="AJ170" s="100">
        <f t="shared" si="94"/>
        <v>47.865160975999999</v>
      </c>
    </row>
    <row r="171" spans="1:36" x14ac:dyDescent="0.2">
      <c r="A171" s="8">
        <v>10.553000000000001</v>
      </c>
      <c r="B171" s="100">
        <v>28.951343082000001</v>
      </c>
      <c r="C171" s="100">
        <v>47.864556162</v>
      </c>
      <c r="D171" s="101">
        <v>10552.887488988425</v>
      </c>
      <c r="E171" s="42" t="str">
        <f t="shared" si="66"/>
        <v/>
      </c>
      <c r="F171" s="7" t="str">
        <f t="shared" si="67"/>
        <v/>
      </c>
      <c r="G171" s="100" t="str">
        <f t="shared" si="68"/>
        <v/>
      </c>
      <c r="H171" s="100" t="str">
        <f t="shared" si="69"/>
        <v/>
      </c>
      <c r="I171" s="100" t="str">
        <f t="shared" si="70"/>
        <v/>
      </c>
      <c r="J171" s="100" t="str">
        <f t="shared" si="71"/>
        <v/>
      </c>
      <c r="K171" s="102" t="str">
        <f t="shared" si="72"/>
        <v/>
      </c>
      <c r="L171" s="103" t="str">
        <f t="shared" si="73"/>
        <v/>
      </c>
      <c r="M171" s="103" t="str">
        <f t="shared" si="74"/>
        <v/>
      </c>
      <c r="N171" s="103" t="str">
        <f t="shared" si="75"/>
        <v/>
      </c>
      <c r="O171" s="103" t="str">
        <f t="shared" si="76"/>
        <v/>
      </c>
      <c r="P171" s="105" t="str">
        <f t="shared" si="77"/>
        <v/>
      </c>
      <c r="Q171" s="105" t="str">
        <f t="shared" si="78"/>
        <v/>
      </c>
      <c r="R171" s="104" t="str">
        <f t="shared" si="79"/>
        <v/>
      </c>
      <c r="S171" s="104" t="str">
        <f t="shared" si="80"/>
        <v/>
      </c>
      <c r="T171" s="105" t="str">
        <f t="shared" si="81"/>
        <v/>
      </c>
      <c r="U171" s="14" t="str">
        <f t="shared" si="82"/>
        <v/>
      </c>
      <c r="V171" s="14" t="str">
        <f t="shared" si="83"/>
        <v/>
      </c>
      <c r="W171" s="103" t="str">
        <f t="shared" si="84"/>
        <v/>
      </c>
      <c r="X171" s="103" t="str">
        <f t="shared" si="85"/>
        <v/>
      </c>
      <c r="Y171" s="100" t="str">
        <f t="shared" si="86"/>
        <v/>
      </c>
      <c r="Z171" s="100" t="str">
        <f t="shared" si="87"/>
        <v/>
      </c>
      <c r="AA171" s="100" t="e">
        <f t="shared" si="88"/>
        <v>#VALUE!</v>
      </c>
      <c r="AB171" s="100" t="e">
        <f t="shared" si="89"/>
        <v>#VALUE!</v>
      </c>
      <c r="AC171" s="100" t="e">
        <f t="shared" si="90"/>
        <v>#VALUE!</v>
      </c>
      <c r="AD171" s="100" t="e">
        <f t="shared" si="91"/>
        <v>#VALUE!</v>
      </c>
      <c r="AE171" s="8" t="str">
        <f t="shared" si="64"/>
        <v/>
      </c>
      <c r="AF171" s="8" t="str">
        <f t="shared" si="65"/>
        <v/>
      </c>
      <c r="AG171" s="7" t="str">
        <f t="shared" si="92"/>
        <v>Good</v>
      </c>
      <c r="AI171" s="100">
        <f t="shared" si="93"/>
        <v>28.951343082000001</v>
      </c>
      <c r="AJ171" s="100">
        <f t="shared" si="94"/>
        <v>47.864556162</v>
      </c>
    </row>
    <row r="172" spans="1:36" x14ac:dyDescent="0.2">
      <c r="A172" s="8">
        <v>10.609</v>
      </c>
      <c r="B172" s="100">
        <v>28.951484938</v>
      </c>
      <c r="C172" s="100">
        <v>47.864002988999999</v>
      </c>
      <c r="D172" s="101">
        <v>10608.936400173765</v>
      </c>
      <c r="E172" s="42" t="str">
        <f t="shared" si="66"/>
        <v/>
      </c>
      <c r="F172" s="7" t="str">
        <f t="shared" si="67"/>
        <v/>
      </c>
      <c r="G172" s="100" t="str">
        <f t="shared" si="68"/>
        <v/>
      </c>
      <c r="H172" s="100" t="str">
        <f t="shared" si="69"/>
        <v/>
      </c>
      <c r="I172" s="100" t="str">
        <f t="shared" si="70"/>
        <v/>
      </c>
      <c r="J172" s="100" t="str">
        <f t="shared" si="71"/>
        <v/>
      </c>
      <c r="K172" s="102" t="str">
        <f t="shared" si="72"/>
        <v/>
      </c>
      <c r="L172" s="103" t="str">
        <f t="shared" si="73"/>
        <v/>
      </c>
      <c r="M172" s="103" t="str">
        <f t="shared" si="74"/>
        <v/>
      </c>
      <c r="N172" s="103" t="str">
        <f t="shared" si="75"/>
        <v/>
      </c>
      <c r="O172" s="103" t="str">
        <f t="shared" si="76"/>
        <v/>
      </c>
      <c r="P172" s="105" t="str">
        <f t="shared" si="77"/>
        <v/>
      </c>
      <c r="Q172" s="105" t="str">
        <f t="shared" si="78"/>
        <v/>
      </c>
      <c r="R172" s="104" t="str">
        <f t="shared" si="79"/>
        <v/>
      </c>
      <c r="S172" s="104" t="str">
        <f t="shared" si="80"/>
        <v/>
      </c>
      <c r="T172" s="105" t="str">
        <f t="shared" si="81"/>
        <v/>
      </c>
      <c r="U172" s="14" t="str">
        <f t="shared" si="82"/>
        <v/>
      </c>
      <c r="V172" s="14" t="str">
        <f t="shared" si="83"/>
        <v/>
      </c>
      <c r="W172" s="103" t="str">
        <f t="shared" si="84"/>
        <v/>
      </c>
      <c r="X172" s="103" t="str">
        <f t="shared" si="85"/>
        <v/>
      </c>
      <c r="Y172" s="100" t="str">
        <f t="shared" si="86"/>
        <v/>
      </c>
      <c r="Z172" s="100" t="str">
        <f t="shared" si="87"/>
        <v/>
      </c>
      <c r="AA172" s="100" t="e">
        <f t="shared" si="88"/>
        <v>#VALUE!</v>
      </c>
      <c r="AB172" s="100" t="e">
        <f t="shared" si="89"/>
        <v>#VALUE!</v>
      </c>
      <c r="AC172" s="100" t="e">
        <f t="shared" si="90"/>
        <v>#VALUE!</v>
      </c>
      <c r="AD172" s="100" t="e">
        <f t="shared" si="91"/>
        <v>#VALUE!</v>
      </c>
      <c r="AE172" s="8" t="str">
        <f t="shared" si="64"/>
        <v/>
      </c>
      <c r="AF172" s="8" t="str">
        <f t="shared" si="65"/>
        <v/>
      </c>
      <c r="AG172" s="7" t="str">
        <f t="shared" si="92"/>
        <v>Good</v>
      </c>
      <c r="AI172" s="100">
        <f t="shared" si="93"/>
        <v>28.951484938</v>
      </c>
      <c r="AJ172" s="100">
        <f t="shared" si="94"/>
        <v>47.864002988999999</v>
      </c>
    </row>
    <row r="173" spans="1:36" x14ac:dyDescent="0.2">
      <c r="A173" s="8">
        <v>10.614000000000001</v>
      </c>
      <c r="B173" s="100">
        <v>28.951500800000002</v>
      </c>
      <c r="C173" s="100">
        <v>47.863958582999999</v>
      </c>
      <c r="D173" s="101">
        <v>10613.599582542602</v>
      </c>
      <c r="E173" s="42" t="str">
        <f t="shared" si="66"/>
        <v/>
      </c>
      <c r="F173" s="7" t="str">
        <f t="shared" si="67"/>
        <v/>
      </c>
      <c r="G173" s="100" t="str">
        <f t="shared" si="68"/>
        <v/>
      </c>
      <c r="H173" s="100" t="str">
        <f t="shared" si="69"/>
        <v/>
      </c>
      <c r="I173" s="100" t="str">
        <f t="shared" si="70"/>
        <v/>
      </c>
      <c r="J173" s="100" t="str">
        <f t="shared" si="71"/>
        <v/>
      </c>
      <c r="K173" s="102" t="str">
        <f t="shared" si="72"/>
        <v/>
      </c>
      <c r="L173" s="103" t="str">
        <f t="shared" si="73"/>
        <v/>
      </c>
      <c r="M173" s="103" t="str">
        <f t="shared" si="74"/>
        <v/>
      </c>
      <c r="N173" s="103" t="str">
        <f t="shared" si="75"/>
        <v/>
      </c>
      <c r="O173" s="103" t="str">
        <f t="shared" si="76"/>
        <v/>
      </c>
      <c r="P173" s="105" t="str">
        <f t="shared" si="77"/>
        <v/>
      </c>
      <c r="Q173" s="105" t="str">
        <f t="shared" si="78"/>
        <v/>
      </c>
      <c r="R173" s="104" t="str">
        <f t="shared" si="79"/>
        <v/>
      </c>
      <c r="S173" s="104" t="str">
        <f t="shared" si="80"/>
        <v/>
      </c>
      <c r="T173" s="105" t="str">
        <f t="shared" si="81"/>
        <v/>
      </c>
      <c r="U173" s="14" t="str">
        <f t="shared" si="82"/>
        <v/>
      </c>
      <c r="V173" s="14" t="str">
        <f t="shared" si="83"/>
        <v/>
      </c>
      <c r="W173" s="103" t="str">
        <f t="shared" si="84"/>
        <v/>
      </c>
      <c r="X173" s="103" t="str">
        <f t="shared" si="85"/>
        <v/>
      </c>
      <c r="Y173" s="100" t="str">
        <f t="shared" si="86"/>
        <v/>
      </c>
      <c r="Z173" s="100" t="str">
        <f t="shared" si="87"/>
        <v/>
      </c>
      <c r="AA173" s="100" t="e">
        <f t="shared" si="88"/>
        <v>#VALUE!</v>
      </c>
      <c r="AB173" s="100" t="e">
        <f t="shared" si="89"/>
        <v>#VALUE!</v>
      </c>
      <c r="AC173" s="100" t="e">
        <f t="shared" si="90"/>
        <v>#VALUE!</v>
      </c>
      <c r="AD173" s="100" t="e">
        <f t="shared" si="91"/>
        <v>#VALUE!</v>
      </c>
      <c r="AE173" s="8" t="str">
        <f t="shared" si="64"/>
        <v/>
      </c>
      <c r="AF173" s="8" t="str">
        <f t="shared" si="65"/>
        <v/>
      </c>
      <c r="AG173" s="7" t="str">
        <f t="shared" si="92"/>
        <v>Good</v>
      </c>
      <c r="AI173" s="100">
        <f t="shared" si="93"/>
        <v>28.951500800000002</v>
      </c>
      <c r="AJ173" s="100">
        <f t="shared" si="94"/>
        <v>47.863958582999999</v>
      </c>
    </row>
    <row r="174" spans="1:36" x14ac:dyDescent="0.2">
      <c r="A174" s="8">
        <v>10.625</v>
      </c>
      <c r="B174" s="100">
        <v>28.95153071</v>
      </c>
      <c r="C174" s="100">
        <v>47.863847122999999</v>
      </c>
      <c r="D174" s="101">
        <v>10624.934991805983</v>
      </c>
      <c r="E174" s="42" t="str">
        <f t="shared" si="66"/>
        <v/>
      </c>
      <c r="F174" s="7" t="str">
        <f t="shared" si="67"/>
        <v/>
      </c>
      <c r="G174" s="100" t="str">
        <f t="shared" si="68"/>
        <v/>
      </c>
      <c r="H174" s="100" t="str">
        <f t="shared" si="69"/>
        <v/>
      </c>
      <c r="I174" s="100" t="str">
        <f t="shared" si="70"/>
        <v/>
      </c>
      <c r="J174" s="100" t="str">
        <f t="shared" si="71"/>
        <v/>
      </c>
      <c r="K174" s="102" t="str">
        <f t="shared" si="72"/>
        <v/>
      </c>
      <c r="L174" s="103" t="str">
        <f t="shared" si="73"/>
        <v/>
      </c>
      <c r="M174" s="103" t="str">
        <f t="shared" si="74"/>
        <v/>
      </c>
      <c r="N174" s="103" t="str">
        <f t="shared" si="75"/>
        <v/>
      </c>
      <c r="O174" s="103" t="str">
        <f t="shared" si="76"/>
        <v/>
      </c>
      <c r="P174" s="105" t="str">
        <f t="shared" si="77"/>
        <v/>
      </c>
      <c r="Q174" s="105" t="str">
        <f t="shared" si="78"/>
        <v/>
      </c>
      <c r="R174" s="104" t="str">
        <f t="shared" si="79"/>
        <v/>
      </c>
      <c r="S174" s="104" t="str">
        <f t="shared" si="80"/>
        <v/>
      </c>
      <c r="T174" s="105" t="str">
        <f t="shared" si="81"/>
        <v/>
      </c>
      <c r="U174" s="14" t="str">
        <f t="shared" si="82"/>
        <v/>
      </c>
      <c r="V174" s="14" t="str">
        <f t="shared" si="83"/>
        <v/>
      </c>
      <c r="W174" s="103" t="str">
        <f t="shared" si="84"/>
        <v/>
      </c>
      <c r="X174" s="103" t="str">
        <f t="shared" si="85"/>
        <v/>
      </c>
      <c r="Y174" s="100" t="str">
        <f t="shared" si="86"/>
        <v/>
      </c>
      <c r="Z174" s="100" t="str">
        <f t="shared" si="87"/>
        <v/>
      </c>
      <c r="AA174" s="100" t="e">
        <f t="shared" si="88"/>
        <v>#VALUE!</v>
      </c>
      <c r="AB174" s="100" t="e">
        <f t="shared" si="89"/>
        <v>#VALUE!</v>
      </c>
      <c r="AC174" s="100" t="e">
        <f t="shared" si="90"/>
        <v>#VALUE!</v>
      </c>
      <c r="AD174" s="100" t="e">
        <f t="shared" si="91"/>
        <v>#VALUE!</v>
      </c>
      <c r="AE174" s="8" t="str">
        <f t="shared" si="64"/>
        <v/>
      </c>
      <c r="AF174" s="8" t="str">
        <f t="shared" si="65"/>
        <v/>
      </c>
      <c r="AG174" s="7" t="str">
        <f t="shared" si="92"/>
        <v>Good</v>
      </c>
      <c r="AI174" s="100">
        <f t="shared" si="93"/>
        <v>28.95153071</v>
      </c>
      <c r="AJ174" s="100">
        <f t="shared" si="94"/>
        <v>47.863847122999999</v>
      </c>
    </row>
    <row r="175" spans="1:36" x14ac:dyDescent="0.2">
      <c r="A175" s="8">
        <v>10.651</v>
      </c>
      <c r="B175" s="100">
        <v>28.951595825999998</v>
      </c>
      <c r="C175" s="100">
        <v>47.863591636999999</v>
      </c>
      <c r="D175" s="101">
        <v>10650.809073301112</v>
      </c>
      <c r="E175" s="42" t="str">
        <f t="shared" si="66"/>
        <v/>
      </c>
      <c r="F175" s="7" t="str">
        <f t="shared" si="67"/>
        <v/>
      </c>
      <c r="G175" s="100" t="str">
        <f t="shared" si="68"/>
        <v/>
      </c>
      <c r="H175" s="100" t="str">
        <f t="shared" si="69"/>
        <v/>
      </c>
      <c r="I175" s="100" t="str">
        <f t="shared" si="70"/>
        <v/>
      </c>
      <c r="J175" s="100" t="str">
        <f t="shared" si="71"/>
        <v/>
      </c>
      <c r="K175" s="102" t="str">
        <f t="shared" si="72"/>
        <v/>
      </c>
      <c r="L175" s="103" t="str">
        <f t="shared" si="73"/>
        <v/>
      </c>
      <c r="M175" s="103" t="str">
        <f t="shared" si="74"/>
        <v/>
      </c>
      <c r="N175" s="103" t="str">
        <f t="shared" si="75"/>
        <v/>
      </c>
      <c r="O175" s="103" t="str">
        <f t="shared" si="76"/>
        <v/>
      </c>
      <c r="P175" s="105" t="str">
        <f t="shared" si="77"/>
        <v/>
      </c>
      <c r="Q175" s="105" t="str">
        <f t="shared" si="78"/>
        <v/>
      </c>
      <c r="R175" s="104" t="str">
        <f t="shared" si="79"/>
        <v/>
      </c>
      <c r="S175" s="104" t="str">
        <f t="shared" si="80"/>
        <v/>
      </c>
      <c r="T175" s="105" t="str">
        <f t="shared" si="81"/>
        <v/>
      </c>
      <c r="U175" s="14" t="str">
        <f t="shared" si="82"/>
        <v/>
      </c>
      <c r="V175" s="14" t="str">
        <f t="shared" si="83"/>
        <v/>
      </c>
      <c r="W175" s="103" t="str">
        <f t="shared" si="84"/>
        <v/>
      </c>
      <c r="X175" s="103" t="str">
        <f t="shared" si="85"/>
        <v/>
      </c>
      <c r="Y175" s="100" t="str">
        <f t="shared" si="86"/>
        <v/>
      </c>
      <c r="Z175" s="100" t="str">
        <f t="shared" si="87"/>
        <v/>
      </c>
      <c r="AA175" s="100" t="e">
        <f t="shared" si="88"/>
        <v>#VALUE!</v>
      </c>
      <c r="AB175" s="100" t="e">
        <f t="shared" si="89"/>
        <v>#VALUE!</v>
      </c>
      <c r="AC175" s="100" t="e">
        <f t="shared" si="90"/>
        <v>#VALUE!</v>
      </c>
      <c r="AD175" s="100" t="e">
        <f t="shared" si="91"/>
        <v>#VALUE!</v>
      </c>
      <c r="AE175" s="8" t="str">
        <f t="shared" si="64"/>
        <v/>
      </c>
      <c r="AF175" s="8" t="str">
        <f t="shared" si="65"/>
        <v/>
      </c>
      <c r="AG175" s="7" t="str">
        <f t="shared" si="92"/>
        <v>Good</v>
      </c>
      <c r="AI175" s="100">
        <f t="shared" si="93"/>
        <v>28.951595825999998</v>
      </c>
      <c r="AJ175" s="100">
        <f t="shared" si="94"/>
        <v>47.863591636999999</v>
      </c>
    </row>
    <row r="176" spans="1:36" x14ac:dyDescent="0.2">
      <c r="A176" s="8">
        <v>10.664999999999999</v>
      </c>
      <c r="B176" s="100">
        <v>28.951629085</v>
      </c>
      <c r="C176" s="100">
        <v>47.863451621000003</v>
      </c>
      <c r="D176" s="101">
        <v>10664.91586672122</v>
      </c>
      <c r="E176" s="42" t="str">
        <f t="shared" si="66"/>
        <v/>
      </c>
      <c r="F176" s="7" t="str">
        <f t="shared" si="67"/>
        <v/>
      </c>
      <c r="G176" s="100" t="str">
        <f t="shared" si="68"/>
        <v/>
      </c>
      <c r="H176" s="100" t="str">
        <f t="shared" si="69"/>
        <v/>
      </c>
      <c r="I176" s="100" t="str">
        <f t="shared" si="70"/>
        <v/>
      </c>
      <c r="J176" s="100" t="str">
        <f t="shared" si="71"/>
        <v/>
      </c>
      <c r="K176" s="102" t="str">
        <f t="shared" si="72"/>
        <v/>
      </c>
      <c r="L176" s="103" t="str">
        <f t="shared" si="73"/>
        <v/>
      </c>
      <c r="M176" s="103" t="str">
        <f t="shared" si="74"/>
        <v/>
      </c>
      <c r="N176" s="103" t="str">
        <f t="shared" si="75"/>
        <v/>
      </c>
      <c r="O176" s="103" t="str">
        <f t="shared" si="76"/>
        <v/>
      </c>
      <c r="P176" s="105" t="str">
        <f t="shared" si="77"/>
        <v/>
      </c>
      <c r="Q176" s="105" t="str">
        <f t="shared" si="78"/>
        <v/>
      </c>
      <c r="R176" s="104" t="str">
        <f t="shared" si="79"/>
        <v/>
      </c>
      <c r="S176" s="104" t="str">
        <f t="shared" si="80"/>
        <v/>
      </c>
      <c r="T176" s="105" t="str">
        <f t="shared" si="81"/>
        <v/>
      </c>
      <c r="U176" s="14" t="str">
        <f t="shared" si="82"/>
        <v/>
      </c>
      <c r="V176" s="14" t="str">
        <f t="shared" si="83"/>
        <v/>
      </c>
      <c r="W176" s="103" t="str">
        <f t="shared" si="84"/>
        <v/>
      </c>
      <c r="X176" s="103" t="str">
        <f t="shared" si="85"/>
        <v/>
      </c>
      <c r="Y176" s="100" t="str">
        <f t="shared" si="86"/>
        <v/>
      </c>
      <c r="Z176" s="100" t="str">
        <f t="shared" si="87"/>
        <v/>
      </c>
      <c r="AA176" s="100" t="e">
        <f t="shared" si="88"/>
        <v>#VALUE!</v>
      </c>
      <c r="AB176" s="100" t="e">
        <f t="shared" si="89"/>
        <v>#VALUE!</v>
      </c>
      <c r="AC176" s="100" t="e">
        <f t="shared" si="90"/>
        <v>#VALUE!</v>
      </c>
      <c r="AD176" s="100" t="e">
        <f t="shared" si="91"/>
        <v>#VALUE!</v>
      </c>
      <c r="AE176" s="8" t="str">
        <f t="shared" si="64"/>
        <v/>
      </c>
      <c r="AF176" s="8" t="str">
        <f t="shared" si="65"/>
        <v/>
      </c>
      <c r="AG176" s="7" t="str">
        <f t="shared" si="92"/>
        <v>Good</v>
      </c>
      <c r="AI176" s="100">
        <f t="shared" si="93"/>
        <v>28.951629085</v>
      </c>
      <c r="AJ176" s="100">
        <f t="shared" si="94"/>
        <v>47.863451621000003</v>
      </c>
    </row>
    <row r="177" spans="1:36" x14ac:dyDescent="0.2">
      <c r="A177" s="8">
        <v>10.666</v>
      </c>
      <c r="B177" s="100">
        <v>28.951636263000001</v>
      </c>
      <c r="C177" s="100">
        <v>47.863441258000002</v>
      </c>
      <c r="D177" s="101">
        <v>10666.202760931053</v>
      </c>
      <c r="E177" s="42" t="str">
        <f t="shared" si="66"/>
        <v/>
      </c>
      <c r="F177" s="7" t="str">
        <f t="shared" si="67"/>
        <v/>
      </c>
      <c r="G177" s="100" t="str">
        <f t="shared" si="68"/>
        <v/>
      </c>
      <c r="H177" s="100" t="str">
        <f t="shared" si="69"/>
        <v/>
      </c>
      <c r="I177" s="100" t="str">
        <f t="shared" si="70"/>
        <v/>
      </c>
      <c r="J177" s="100" t="str">
        <f t="shared" si="71"/>
        <v/>
      </c>
      <c r="K177" s="102" t="str">
        <f t="shared" si="72"/>
        <v/>
      </c>
      <c r="L177" s="103" t="str">
        <f t="shared" si="73"/>
        <v/>
      </c>
      <c r="M177" s="103" t="str">
        <f t="shared" si="74"/>
        <v/>
      </c>
      <c r="N177" s="103" t="str">
        <f t="shared" si="75"/>
        <v/>
      </c>
      <c r="O177" s="103" t="str">
        <f t="shared" si="76"/>
        <v/>
      </c>
      <c r="P177" s="105" t="str">
        <f t="shared" si="77"/>
        <v/>
      </c>
      <c r="Q177" s="105" t="str">
        <f t="shared" si="78"/>
        <v/>
      </c>
      <c r="R177" s="104" t="str">
        <f t="shared" si="79"/>
        <v/>
      </c>
      <c r="S177" s="104" t="str">
        <f t="shared" si="80"/>
        <v/>
      </c>
      <c r="T177" s="105" t="str">
        <f t="shared" si="81"/>
        <v/>
      </c>
      <c r="U177" s="14" t="str">
        <f t="shared" si="82"/>
        <v/>
      </c>
      <c r="V177" s="14" t="str">
        <f t="shared" si="83"/>
        <v/>
      </c>
      <c r="W177" s="103" t="str">
        <f t="shared" si="84"/>
        <v/>
      </c>
      <c r="X177" s="103" t="str">
        <f t="shared" si="85"/>
        <v/>
      </c>
      <c r="Y177" s="100" t="str">
        <f t="shared" si="86"/>
        <v/>
      </c>
      <c r="Z177" s="100" t="str">
        <f t="shared" si="87"/>
        <v/>
      </c>
      <c r="AA177" s="100" t="e">
        <f t="shared" si="88"/>
        <v>#VALUE!</v>
      </c>
      <c r="AB177" s="100" t="e">
        <f t="shared" si="89"/>
        <v>#VALUE!</v>
      </c>
      <c r="AC177" s="100" t="e">
        <f t="shared" si="90"/>
        <v>#VALUE!</v>
      </c>
      <c r="AD177" s="100" t="e">
        <f t="shared" si="91"/>
        <v>#VALUE!</v>
      </c>
      <c r="AE177" s="8" t="str">
        <f t="shared" si="64"/>
        <v/>
      </c>
      <c r="AF177" s="8" t="str">
        <f t="shared" si="65"/>
        <v/>
      </c>
      <c r="AG177" s="7" t="str">
        <f t="shared" si="92"/>
        <v>Good</v>
      </c>
      <c r="AI177" s="100">
        <f t="shared" si="93"/>
        <v>28.951636263000001</v>
      </c>
      <c r="AJ177" s="100">
        <f t="shared" si="94"/>
        <v>47.863441258000002</v>
      </c>
    </row>
    <row r="178" spans="1:36" x14ac:dyDescent="0.2">
      <c r="A178" s="8">
        <v>10.667</v>
      </c>
      <c r="B178" s="100">
        <v>28.951628314000001</v>
      </c>
      <c r="C178" s="100">
        <v>47.863440875000002</v>
      </c>
      <c r="D178" s="101">
        <v>10667.087659639752</v>
      </c>
      <c r="E178" s="42" t="str">
        <f t="shared" si="66"/>
        <v/>
      </c>
      <c r="F178" s="7" t="str">
        <f t="shared" si="67"/>
        <v/>
      </c>
      <c r="G178" s="100" t="str">
        <f t="shared" si="68"/>
        <v/>
      </c>
      <c r="H178" s="100" t="str">
        <f t="shared" si="69"/>
        <v/>
      </c>
      <c r="I178" s="100" t="str">
        <f t="shared" si="70"/>
        <v/>
      </c>
      <c r="J178" s="100" t="str">
        <f t="shared" si="71"/>
        <v/>
      </c>
      <c r="K178" s="102" t="str">
        <f t="shared" si="72"/>
        <v/>
      </c>
      <c r="L178" s="103" t="str">
        <f t="shared" si="73"/>
        <v/>
      </c>
      <c r="M178" s="103" t="str">
        <f t="shared" si="74"/>
        <v/>
      </c>
      <c r="N178" s="103" t="str">
        <f t="shared" si="75"/>
        <v/>
      </c>
      <c r="O178" s="103" t="str">
        <f t="shared" si="76"/>
        <v/>
      </c>
      <c r="P178" s="105" t="str">
        <f t="shared" si="77"/>
        <v/>
      </c>
      <c r="Q178" s="105" t="str">
        <f t="shared" si="78"/>
        <v/>
      </c>
      <c r="R178" s="104" t="str">
        <f t="shared" si="79"/>
        <v/>
      </c>
      <c r="S178" s="104" t="str">
        <f t="shared" si="80"/>
        <v/>
      </c>
      <c r="T178" s="105" t="str">
        <f t="shared" si="81"/>
        <v/>
      </c>
      <c r="U178" s="14" t="str">
        <f t="shared" si="82"/>
        <v/>
      </c>
      <c r="V178" s="14" t="str">
        <f t="shared" si="83"/>
        <v/>
      </c>
      <c r="W178" s="103" t="str">
        <f t="shared" si="84"/>
        <v/>
      </c>
      <c r="X178" s="103" t="str">
        <f t="shared" si="85"/>
        <v/>
      </c>
      <c r="Y178" s="100" t="str">
        <f t="shared" si="86"/>
        <v/>
      </c>
      <c r="Z178" s="100" t="str">
        <f t="shared" si="87"/>
        <v/>
      </c>
      <c r="AA178" s="100" t="e">
        <f t="shared" si="88"/>
        <v>#VALUE!</v>
      </c>
      <c r="AB178" s="100" t="e">
        <f t="shared" si="89"/>
        <v>#VALUE!</v>
      </c>
      <c r="AC178" s="100" t="e">
        <f t="shared" si="90"/>
        <v>#VALUE!</v>
      </c>
      <c r="AD178" s="100" t="e">
        <f t="shared" si="91"/>
        <v>#VALUE!</v>
      </c>
      <c r="AE178" s="8" t="str">
        <f t="shared" si="64"/>
        <v/>
      </c>
      <c r="AF178" s="8" t="str">
        <f t="shared" si="65"/>
        <v/>
      </c>
      <c r="AG178" s="7" t="str">
        <f t="shared" si="92"/>
        <v>Good</v>
      </c>
      <c r="AI178" s="100">
        <f t="shared" si="93"/>
        <v>28.951628314000001</v>
      </c>
      <c r="AJ178" s="100">
        <f t="shared" si="94"/>
        <v>47.863440875000002</v>
      </c>
    </row>
    <row r="179" spans="1:36" x14ac:dyDescent="0.2">
      <c r="A179" s="8">
        <v>10.673</v>
      </c>
      <c r="B179" s="100">
        <v>28.951667886999999</v>
      </c>
      <c r="C179" s="100">
        <v>47.863403849999997</v>
      </c>
      <c r="D179" s="101">
        <v>10672.771222456973</v>
      </c>
      <c r="E179" s="42" t="str">
        <f t="shared" si="66"/>
        <v/>
      </c>
      <c r="F179" s="7" t="str">
        <f t="shared" si="67"/>
        <v/>
      </c>
      <c r="G179" s="100" t="str">
        <f t="shared" si="68"/>
        <v/>
      </c>
      <c r="H179" s="100" t="str">
        <f t="shared" si="69"/>
        <v/>
      </c>
      <c r="I179" s="100" t="str">
        <f t="shared" si="70"/>
        <v/>
      </c>
      <c r="J179" s="100" t="str">
        <f t="shared" si="71"/>
        <v/>
      </c>
      <c r="K179" s="102" t="str">
        <f t="shared" si="72"/>
        <v/>
      </c>
      <c r="L179" s="103" t="str">
        <f t="shared" si="73"/>
        <v/>
      </c>
      <c r="M179" s="103" t="str">
        <f t="shared" si="74"/>
        <v/>
      </c>
      <c r="N179" s="103" t="str">
        <f t="shared" si="75"/>
        <v/>
      </c>
      <c r="O179" s="103" t="str">
        <f t="shared" si="76"/>
        <v/>
      </c>
      <c r="P179" s="105" t="str">
        <f t="shared" si="77"/>
        <v/>
      </c>
      <c r="Q179" s="105" t="str">
        <f t="shared" si="78"/>
        <v/>
      </c>
      <c r="R179" s="104" t="str">
        <f t="shared" si="79"/>
        <v/>
      </c>
      <c r="S179" s="104" t="str">
        <f t="shared" si="80"/>
        <v/>
      </c>
      <c r="T179" s="105" t="str">
        <f t="shared" si="81"/>
        <v/>
      </c>
      <c r="U179" s="14" t="str">
        <f t="shared" si="82"/>
        <v/>
      </c>
      <c r="V179" s="14" t="str">
        <f t="shared" si="83"/>
        <v/>
      </c>
      <c r="W179" s="103" t="str">
        <f t="shared" si="84"/>
        <v/>
      </c>
      <c r="X179" s="103" t="str">
        <f t="shared" si="85"/>
        <v/>
      </c>
      <c r="Y179" s="100" t="str">
        <f t="shared" si="86"/>
        <v/>
      </c>
      <c r="Z179" s="100" t="str">
        <f t="shared" si="87"/>
        <v/>
      </c>
      <c r="AA179" s="100" t="e">
        <f t="shared" si="88"/>
        <v>#VALUE!</v>
      </c>
      <c r="AB179" s="100" t="e">
        <f t="shared" si="89"/>
        <v>#VALUE!</v>
      </c>
      <c r="AC179" s="100" t="e">
        <f t="shared" si="90"/>
        <v>#VALUE!</v>
      </c>
      <c r="AD179" s="100" t="e">
        <f t="shared" si="91"/>
        <v>#VALUE!</v>
      </c>
      <c r="AE179" s="8" t="str">
        <f t="shared" si="64"/>
        <v/>
      </c>
      <c r="AF179" s="8" t="str">
        <f t="shared" si="65"/>
        <v/>
      </c>
      <c r="AG179" s="7" t="str">
        <f t="shared" si="92"/>
        <v>Good</v>
      </c>
      <c r="AI179" s="100">
        <f t="shared" si="93"/>
        <v>28.951667886999999</v>
      </c>
      <c r="AJ179" s="100">
        <f t="shared" si="94"/>
        <v>47.863403849999997</v>
      </c>
    </row>
    <row r="180" spans="1:36" x14ac:dyDescent="0.2">
      <c r="A180" s="8">
        <v>10.675000000000001</v>
      </c>
      <c r="B180" s="100">
        <v>28.951654127000001</v>
      </c>
      <c r="C180" s="100">
        <v>47.863380208000002</v>
      </c>
      <c r="D180" s="101">
        <v>10675.530650773979</v>
      </c>
      <c r="E180" s="42" t="str">
        <f t="shared" si="66"/>
        <v/>
      </c>
      <c r="F180" s="7" t="str">
        <f t="shared" si="67"/>
        <v/>
      </c>
      <c r="G180" s="100" t="str">
        <f t="shared" si="68"/>
        <v/>
      </c>
      <c r="H180" s="100" t="str">
        <f t="shared" si="69"/>
        <v/>
      </c>
      <c r="I180" s="100" t="str">
        <f t="shared" si="70"/>
        <v/>
      </c>
      <c r="J180" s="100" t="str">
        <f t="shared" si="71"/>
        <v/>
      </c>
      <c r="K180" s="102" t="str">
        <f t="shared" si="72"/>
        <v/>
      </c>
      <c r="L180" s="103" t="str">
        <f t="shared" si="73"/>
        <v/>
      </c>
      <c r="M180" s="103" t="str">
        <f t="shared" si="74"/>
        <v/>
      </c>
      <c r="N180" s="103" t="str">
        <f t="shared" si="75"/>
        <v/>
      </c>
      <c r="O180" s="103" t="str">
        <f t="shared" si="76"/>
        <v/>
      </c>
      <c r="P180" s="105" t="str">
        <f t="shared" si="77"/>
        <v/>
      </c>
      <c r="Q180" s="105" t="str">
        <f t="shared" si="78"/>
        <v/>
      </c>
      <c r="R180" s="104" t="str">
        <f t="shared" si="79"/>
        <v/>
      </c>
      <c r="S180" s="104" t="str">
        <f t="shared" si="80"/>
        <v/>
      </c>
      <c r="T180" s="105" t="str">
        <f t="shared" si="81"/>
        <v/>
      </c>
      <c r="U180" s="14" t="str">
        <f t="shared" si="82"/>
        <v/>
      </c>
      <c r="V180" s="14" t="str">
        <f t="shared" si="83"/>
        <v/>
      </c>
      <c r="W180" s="103" t="str">
        <f t="shared" si="84"/>
        <v/>
      </c>
      <c r="X180" s="103" t="str">
        <f t="shared" si="85"/>
        <v/>
      </c>
      <c r="Y180" s="100" t="str">
        <f t="shared" si="86"/>
        <v/>
      </c>
      <c r="Z180" s="100" t="str">
        <f t="shared" si="87"/>
        <v/>
      </c>
      <c r="AA180" s="100" t="e">
        <f t="shared" si="88"/>
        <v>#VALUE!</v>
      </c>
      <c r="AB180" s="100" t="e">
        <f t="shared" si="89"/>
        <v>#VALUE!</v>
      </c>
      <c r="AC180" s="100" t="e">
        <f t="shared" si="90"/>
        <v>#VALUE!</v>
      </c>
      <c r="AD180" s="100" t="e">
        <f t="shared" si="91"/>
        <v>#VALUE!</v>
      </c>
      <c r="AE180" s="8" t="str">
        <f t="shared" si="64"/>
        <v/>
      </c>
      <c r="AF180" s="8" t="str">
        <f t="shared" si="65"/>
        <v/>
      </c>
      <c r="AG180" s="7" t="str">
        <f t="shared" si="92"/>
        <v>Good</v>
      </c>
      <c r="AI180" s="100">
        <f t="shared" si="93"/>
        <v>28.951654127000001</v>
      </c>
      <c r="AJ180" s="100">
        <f t="shared" si="94"/>
        <v>47.863380208000002</v>
      </c>
    </row>
    <row r="181" spans="1:36" x14ac:dyDescent="0.2">
      <c r="A181" s="8">
        <v>10.676</v>
      </c>
      <c r="B181" s="100">
        <v>28.951656297</v>
      </c>
      <c r="C181" s="100">
        <v>47.863374172</v>
      </c>
      <c r="D181" s="101">
        <v>10676.159954457087</v>
      </c>
      <c r="E181" s="42" t="str">
        <f t="shared" si="66"/>
        <v/>
      </c>
      <c r="F181" s="7" t="str">
        <f t="shared" si="67"/>
        <v/>
      </c>
      <c r="G181" s="100" t="str">
        <f t="shared" si="68"/>
        <v/>
      </c>
      <c r="H181" s="100" t="str">
        <f t="shared" si="69"/>
        <v/>
      </c>
      <c r="I181" s="100" t="str">
        <f t="shared" si="70"/>
        <v/>
      </c>
      <c r="J181" s="100" t="str">
        <f t="shared" si="71"/>
        <v/>
      </c>
      <c r="K181" s="102" t="str">
        <f t="shared" si="72"/>
        <v/>
      </c>
      <c r="L181" s="103" t="str">
        <f t="shared" si="73"/>
        <v/>
      </c>
      <c r="M181" s="103" t="str">
        <f t="shared" si="74"/>
        <v/>
      </c>
      <c r="N181" s="103" t="str">
        <f t="shared" si="75"/>
        <v/>
      </c>
      <c r="O181" s="103" t="str">
        <f t="shared" si="76"/>
        <v/>
      </c>
      <c r="P181" s="105" t="str">
        <f t="shared" si="77"/>
        <v/>
      </c>
      <c r="Q181" s="105" t="str">
        <f t="shared" si="78"/>
        <v/>
      </c>
      <c r="R181" s="104" t="str">
        <f t="shared" si="79"/>
        <v/>
      </c>
      <c r="S181" s="104" t="str">
        <f t="shared" si="80"/>
        <v/>
      </c>
      <c r="T181" s="105" t="str">
        <f t="shared" si="81"/>
        <v/>
      </c>
      <c r="U181" s="14" t="str">
        <f t="shared" si="82"/>
        <v/>
      </c>
      <c r="V181" s="14" t="str">
        <f t="shared" si="83"/>
        <v/>
      </c>
      <c r="W181" s="103" t="str">
        <f t="shared" si="84"/>
        <v/>
      </c>
      <c r="X181" s="103" t="str">
        <f t="shared" si="85"/>
        <v/>
      </c>
      <c r="Y181" s="100" t="str">
        <f t="shared" si="86"/>
        <v/>
      </c>
      <c r="Z181" s="100" t="str">
        <f t="shared" si="87"/>
        <v/>
      </c>
      <c r="AA181" s="100" t="e">
        <f t="shared" si="88"/>
        <v>#VALUE!</v>
      </c>
      <c r="AB181" s="100" t="e">
        <f t="shared" si="89"/>
        <v>#VALUE!</v>
      </c>
      <c r="AC181" s="100" t="e">
        <f t="shared" si="90"/>
        <v>#VALUE!</v>
      </c>
      <c r="AD181" s="100" t="e">
        <f t="shared" si="91"/>
        <v>#VALUE!</v>
      </c>
      <c r="AE181" s="8" t="str">
        <f t="shared" si="64"/>
        <v/>
      </c>
      <c r="AF181" s="8" t="str">
        <f t="shared" si="65"/>
        <v/>
      </c>
      <c r="AG181" s="7" t="str">
        <f t="shared" si="92"/>
        <v>Good</v>
      </c>
      <c r="AI181" s="100">
        <f t="shared" si="93"/>
        <v>28.951656297</v>
      </c>
      <c r="AJ181" s="100">
        <f t="shared" si="94"/>
        <v>47.863374172</v>
      </c>
    </row>
    <row r="182" spans="1:36" x14ac:dyDescent="0.2">
      <c r="A182" s="8">
        <v>11.023</v>
      </c>
      <c r="B182" s="100">
        <v>28.952553534</v>
      </c>
      <c r="C182" s="100">
        <v>47.859959218999997</v>
      </c>
      <c r="D182" s="101">
        <v>11022.849640887842</v>
      </c>
      <c r="E182" s="42" t="str">
        <f t="shared" si="66"/>
        <v/>
      </c>
      <c r="F182" s="7" t="str">
        <f t="shared" si="67"/>
        <v/>
      </c>
      <c r="G182" s="100" t="str">
        <f t="shared" si="68"/>
        <v/>
      </c>
      <c r="H182" s="100" t="str">
        <f t="shared" si="69"/>
        <v/>
      </c>
      <c r="I182" s="100" t="str">
        <f t="shared" si="70"/>
        <v/>
      </c>
      <c r="J182" s="100" t="str">
        <f t="shared" si="71"/>
        <v/>
      </c>
      <c r="K182" s="102" t="str">
        <f t="shared" si="72"/>
        <v/>
      </c>
      <c r="L182" s="103" t="str">
        <f t="shared" si="73"/>
        <v/>
      </c>
      <c r="M182" s="103" t="str">
        <f t="shared" si="74"/>
        <v/>
      </c>
      <c r="N182" s="103" t="str">
        <f t="shared" si="75"/>
        <v/>
      </c>
      <c r="O182" s="103" t="str">
        <f t="shared" si="76"/>
        <v/>
      </c>
      <c r="P182" s="105" t="str">
        <f t="shared" si="77"/>
        <v/>
      </c>
      <c r="Q182" s="105" t="str">
        <f t="shared" si="78"/>
        <v/>
      </c>
      <c r="R182" s="104" t="str">
        <f t="shared" si="79"/>
        <v/>
      </c>
      <c r="S182" s="104" t="str">
        <f t="shared" si="80"/>
        <v/>
      </c>
      <c r="T182" s="105" t="str">
        <f t="shared" si="81"/>
        <v/>
      </c>
      <c r="U182" s="14" t="str">
        <f t="shared" si="82"/>
        <v/>
      </c>
      <c r="V182" s="14" t="str">
        <f t="shared" si="83"/>
        <v/>
      </c>
      <c r="W182" s="103" t="str">
        <f t="shared" si="84"/>
        <v/>
      </c>
      <c r="X182" s="103" t="str">
        <f t="shared" si="85"/>
        <v/>
      </c>
      <c r="Y182" s="100" t="str">
        <f t="shared" si="86"/>
        <v/>
      </c>
      <c r="Z182" s="100" t="str">
        <f t="shared" si="87"/>
        <v/>
      </c>
      <c r="AA182" s="100" t="e">
        <f t="shared" si="88"/>
        <v>#VALUE!</v>
      </c>
      <c r="AB182" s="100" t="e">
        <f t="shared" si="89"/>
        <v>#VALUE!</v>
      </c>
      <c r="AC182" s="100" t="e">
        <f t="shared" si="90"/>
        <v>#VALUE!</v>
      </c>
      <c r="AD182" s="100" t="e">
        <f t="shared" si="91"/>
        <v>#VALUE!</v>
      </c>
      <c r="AE182" s="8" t="str">
        <f t="shared" si="64"/>
        <v/>
      </c>
      <c r="AF182" s="8" t="str">
        <f t="shared" si="65"/>
        <v/>
      </c>
      <c r="AG182" s="7" t="str">
        <f t="shared" si="92"/>
        <v>Good</v>
      </c>
      <c r="AI182" s="100">
        <f t="shared" si="93"/>
        <v>28.952553534</v>
      </c>
      <c r="AJ182" s="100">
        <f t="shared" si="94"/>
        <v>47.859959218999997</v>
      </c>
    </row>
    <row r="183" spans="1:36" x14ac:dyDescent="0.2">
      <c r="A183" s="8">
        <v>11.244</v>
      </c>
      <c r="D183" s="101">
        <v>11244</v>
      </c>
      <c r="E183" s="42">
        <f t="shared" si="66"/>
        <v>221.15035911215818</v>
      </c>
      <c r="F183" s="7">
        <f t="shared" si="67"/>
        <v>1</v>
      </c>
      <c r="G183" s="100">
        <f t="shared" si="68"/>
        <v>28.952553534</v>
      </c>
      <c r="H183" s="100">
        <f t="shared" si="69"/>
        <v>47.859959218999997</v>
      </c>
      <c r="I183" s="100">
        <f t="shared" si="70"/>
        <v>28.953104310000001</v>
      </c>
      <c r="J183" s="100">
        <f t="shared" si="71"/>
        <v>47.857765598999997</v>
      </c>
      <c r="K183" s="102">
        <f t="shared" si="72"/>
        <v>38</v>
      </c>
      <c r="L183" s="103">
        <f t="shared" si="73"/>
        <v>3206098.5325194155</v>
      </c>
      <c r="M183" s="103">
        <f t="shared" si="74"/>
        <v>778748.89173565223</v>
      </c>
      <c r="N183" s="103">
        <f t="shared" si="75"/>
        <v>3206154.4230866772</v>
      </c>
      <c r="O183" s="103">
        <f t="shared" si="76"/>
        <v>778533.51780534908</v>
      </c>
      <c r="P183" s="105">
        <f t="shared" si="77"/>
        <v>55.890567261725664</v>
      </c>
      <c r="Q183" s="105">
        <f t="shared" si="78"/>
        <v>-215.37393030314706</v>
      </c>
      <c r="R183" s="104">
        <f t="shared" si="79"/>
        <v>222.50771978307253</v>
      </c>
      <c r="S183" s="104" t="str">
        <f t="shared" si="80"/>
        <v>NW</v>
      </c>
      <c r="T183" s="105">
        <f t="shared" si="81"/>
        <v>0.25390415221024948</v>
      </c>
      <c r="U183" s="14">
        <f t="shared" si="82"/>
        <v>-214.06008778649752</v>
      </c>
      <c r="V183" s="14">
        <f t="shared" si="83"/>
        <v>55.549618831036959</v>
      </c>
      <c r="W183" s="103">
        <f t="shared" si="84"/>
        <v>3206154.0821382464</v>
      </c>
      <c r="X183" s="103">
        <f t="shared" si="85"/>
        <v>778534.83164786571</v>
      </c>
      <c r="Y183" s="100">
        <f t="shared" si="86"/>
        <v>28.953100926450457</v>
      </c>
      <c r="Z183" s="100">
        <f t="shared" si="87"/>
        <v>47.857778982044671</v>
      </c>
      <c r="AA183" s="100">
        <f t="shared" si="88"/>
        <v>-5.4739245045709595E-4</v>
      </c>
      <c r="AB183" s="100">
        <f t="shared" si="89"/>
        <v>-3.3835495436562724E-6</v>
      </c>
      <c r="AC183" s="100">
        <f t="shared" si="90"/>
        <v>2.180236955325654E-3</v>
      </c>
      <c r="AD183" s="100">
        <f t="shared" si="91"/>
        <v>1.3383044674242228E-5</v>
      </c>
      <c r="AE183" s="8" t="str">
        <f t="shared" si="64"/>
        <v>Good</v>
      </c>
      <c r="AF183" s="8" t="str">
        <f t="shared" si="65"/>
        <v>Good</v>
      </c>
      <c r="AG183" s="7" t="str">
        <f t="shared" si="92"/>
        <v>Good</v>
      </c>
      <c r="AI183" s="100">
        <f t="shared" si="93"/>
        <v>28.953100926450457</v>
      </c>
      <c r="AJ183" s="100">
        <f t="shared" si="94"/>
        <v>47.857778982044671</v>
      </c>
    </row>
    <row r="184" spans="1:36" x14ac:dyDescent="0.2">
      <c r="A184" s="8">
        <v>11.244999999999999</v>
      </c>
      <c r="B184" s="100">
        <v>28.953104310000001</v>
      </c>
      <c r="C184" s="100">
        <v>47.857765598999997</v>
      </c>
      <c r="D184" s="101">
        <v>11244.746430504465</v>
      </c>
      <c r="E184" s="42" t="str">
        <f t="shared" si="66"/>
        <v/>
      </c>
      <c r="F184" s="7" t="str">
        <f t="shared" si="67"/>
        <v/>
      </c>
      <c r="G184" s="100" t="str">
        <f t="shared" si="68"/>
        <v/>
      </c>
      <c r="H184" s="100" t="str">
        <f t="shared" si="69"/>
        <v/>
      </c>
      <c r="I184" s="100" t="str">
        <f t="shared" si="70"/>
        <v/>
      </c>
      <c r="J184" s="100" t="str">
        <f t="shared" si="71"/>
        <v/>
      </c>
      <c r="K184" s="102" t="str">
        <f t="shared" si="72"/>
        <v/>
      </c>
      <c r="L184" s="103" t="str">
        <f t="shared" si="73"/>
        <v/>
      </c>
      <c r="M184" s="103" t="str">
        <f t="shared" si="74"/>
        <v/>
      </c>
      <c r="N184" s="103" t="str">
        <f t="shared" si="75"/>
        <v/>
      </c>
      <c r="O184" s="103" t="str">
        <f t="shared" si="76"/>
        <v/>
      </c>
      <c r="P184" s="105" t="str">
        <f t="shared" si="77"/>
        <v/>
      </c>
      <c r="Q184" s="105" t="str">
        <f t="shared" si="78"/>
        <v/>
      </c>
      <c r="R184" s="104" t="str">
        <f t="shared" si="79"/>
        <v/>
      </c>
      <c r="S184" s="104" t="str">
        <f t="shared" si="80"/>
        <v/>
      </c>
      <c r="T184" s="105" t="str">
        <f t="shared" si="81"/>
        <v/>
      </c>
      <c r="U184" s="14" t="str">
        <f t="shared" si="82"/>
        <v/>
      </c>
      <c r="V184" s="14" t="str">
        <f t="shared" si="83"/>
        <v/>
      </c>
      <c r="W184" s="103" t="str">
        <f t="shared" si="84"/>
        <v/>
      </c>
      <c r="X184" s="103" t="str">
        <f t="shared" si="85"/>
        <v/>
      </c>
      <c r="Y184" s="100" t="str">
        <f t="shared" si="86"/>
        <v/>
      </c>
      <c r="Z184" s="100" t="str">
        <f t="shared" si="87"/>
        <v/>
      </c>
      <c r="AA184" s="100" t="e">
        <f t="shared" si="88"/>
        <v>#VALUE!</v>
      </c>
      <c r="AB184" s="100" t="e">
        <f t="shared" si="89"/>
        <v>#VALUE!</v>
      </c>
      <c r="AC184" s="100" t="e">
        <f t="shared" si="90"/>
        <v>#VALUE!</v>
      </c>
      <c r="AD184" s="100" t="e">
        <f t="shared" si="91"/>
        <v>#VALUE!</v>
      </c>
      <c r="AE184" s="8" t="str">
        <f t="shared" si="64"/>
        <v/>
      </c>
      <c r="AF184" s="8" t="str">
        <f t="shared" si="65"/>
        <v/>
      </c>
      <c r="AG184" s="7" t="str">
        <f t="shared" si="92"/>
        <v>Good</v>
      </c>
      <c r="AI184" s="100">
        <f t="shared" si="93"/>
        <v>28.953104310000001</v>
      </c>
      <c r="AJ184" s="100">
        <f t="shared" si="94"/>
        <v>47.857765598999997</v>
      </c>
    </row>
    <row r="185" spans="1:36" x14ac:dyDescent="0.2">
      <c r="A185" s="8">
        <v>11.843</v>
      </c>
      <c r="B185" s="100">
        <v>28.954657251</v>
      </c>
      <c r="C185" s="100">
        <v>47.851877029000001</v>
      </c>
      <c r="D185" s="101">
        <v>11842.736379961954</v>
      </c>
      <c r="E185" s="42" t="str">
        <f t="shared" si="66"/>
        <v/>
      </c>
      <c r="F185" s="7" t="str">
        <f t="shared" si="67"/>
        <v/>
      </c>
      <c r="G185" s="100" t="str">
        <f t="shared" si="68"/>
        <v/>
      </c>
      <c r="H185" s="100" t="str">
        <f t="shared" si="69"/>
        <v/>
      </c>
      <c r="I185" s="100" t="str">
        <f t="shared" si="70"/>
        <v/>
      </c>
      <c r="J185" s="100" t="str">
        <f t="shared" si="71"/>
        <v/>
      </c>
      <c r="K185" s="102" t="str">
        <f t="shared" si="72"/>
        <v/>
      </c>
      <c r="L185" s="103" t="str">
        <f t="shared" si="73"/>
        <v/>
      </c>
      <c r="M185" s="103" t="str">
        <f t="shared" si="74"/>
        <v/>
      </c>
      <c r="N185" s="103" t="str">
        <f t="shared" si="75"/>
        <v/>
      </c>
      <c r="O185" s="103" t="str">
        <f t="shared" si="76"/>
        <v/>
      </c>
      <c r="P185" s="105" t="str">
        <f t="shared" si="77"/>
        <v/>
      </c>
      <c r="Q185" s="105" t="str">
        <f t="shared" si="78"/>
        <v/>
      </c>
      <c r="R185" s="104" t="str">
        <f t="shared" si="79"/>
        <v/>
      </c>
      <c r="S185" s="104" t="str">
        <f t="shared" si="80"/>
        <v/>
      </c>
      <c r="T185" s="105" t="str">
        <f t="shared" si="81"/>
        <v/>
      </c>
      <c r="U185" s="14" t="str">
        <f t="shared" si="82"/>
        <v/>
      </c>
      <c r="V185" s="14" t="str">
        <f t="shared" si="83"/>
        <v/>
      </c>
      <c r="W185" s="103" t="str">
        <f t="shared" si="84"/>
        <v/>
      </c>
      <c r="X185" s="103" t="str">
        <f t="shared" si="85"/>
        <v/>
      </c>
      <c r="Y185" s="100" t="str">
        <f t="shared" si="86"/>
        <v/>
      </c>
      <c r="Z185" s="100" t="str">
        <f t="shared" si="87"/>
        <v/>
      </c>
      <c r="AA185" s="100" t="e">
        <f t="shared" si="88"/>
        <v>#VALUE!</v>
      </c>
      <c r="AB185" s="100" t="e">
        <f t="shared" si="89"/>
        <v>#VALUE!</v>
      </c>
      <c r="AC185" s="100" t="e">
        <f t="shared" si="90"/>
        <v>#VALUE!</v>
      </c>
      <c r="AD185" s="100" t="e">
        <f t="shared" si="91"/>
        <v>#VALUE!</v>
      </c>
      <c r="AE185" s="8" t="str">
        <f t="shared" si="64"/>
        <v/>
      </c>
      <c r="AF185" s="8" t="str">
        <f t="shared" si="65"/>
        <v/>
      </c>
      <c r="AG185" s="7" t="str">
        <f t="shared" si="92"/>
        <v>Good</v>
      </c>
      <c r="AI185" s="100">
        <f t="shared" si="93"/>
        <v>28.954657251</v>
      </c>
      <c r="AJ185" s="100">
        <f t="shared" si="94"/>
        <v>47.851877029000001</v>
      </c>
    </row>
    <row r="186" spans="1:36" x14ac:dyDescent="0.2">
      <c r="A186" s="8">
        <v>11.871</v>
      </c>
      <c r="B186" s="100">
        <v>28.954727493</v>
      </c>
      <c r="C186" s="100">
        <v>47.851597488000003</v>
      </c>
      <c r="D186" s="101">
        <v>11871.014652464823</v>
      </c>
      <c r="E186" s="42" t="str">
        <f t="shared" si="66"/>
        <v/>
      </c>
      <c r="F186" s="7" t="str">
        <f t="shared" si="67"/>
        <v/>
      </c>
      <c r="G186" s="100" t="str">
        <f t="shared" si="68"/>
        <v/>
      </c>
      <c r="H186" s="100" t="str">
        <f t="shared" si="69"/>
        <v/>
      </c>
      <c r="I186" s="100" t="str">
        <f t="shared" si="70"/>
        <v/>
      </c>
      <c r="J186" s="100" t="str">
        <f t="shared" si="71"/>
        <v/>
      </c>
      <c r="K186" s="102" t="str">
        <f t="shared" si="72"/>
        <v/>
      </c>
      <c r="L186" s="103" t="str">
        <f t="shared" si="73"/>
        <v/>
      </c>
      <c r="M186" s="103" t="str">
        <f t="shared" si="74"/>
        <v/>
      </c>
      <c r="N186" s="103" t="str">
        <f t="shared" si="75"/>
        <v/>
      </c>
      <c r="O186" s="103" t="str">
        <f t="shared" si="76"/>
        <v/>
      </c>
      <c r="P186" s="105" t="str">
        <f t="shared" si="77"/>
        <v/>
      </c>
      <c r="Q186" s="105" t="str">
        <f t="shared" si="78"/>
        <v/>
      </c>
      <c r="R186" s="104" t="str">
        <f t="shared" si="79"/>
        <v/>
      </c>
      <c r="S186" s="104" t="str">
        <f t="shared" si="80"/>
        <v/>
      </c>
      <c r="T186" s="105" t="str">
        <f t="shared" si="81"/>
        <v/>
      </c>
      <c r="U186" s="14" t="str">
        <f t="shared" si="82"/>
        <v/>
      </c>
      <c r="V186" s="14" t="str">
        <f t="shared" si="83"/>
        <v/>
      </c>
      <c r="W186" s="103" t="str">
        <f t="shared" si="84"/>
        <v/>
      </c>
      <c r="X186" s="103" t="str">
        <f t="shared" si="85"/>
        <v/>
      </c>
      <c r="Y186" s="100" t="str">
        <f t="shared" si="86"/>
        <v/>
      </c>
      <c r="Z186" s="100" t="str">
        <f t="shared" si="87"/>
        <v/>
      </c>
      <c r="AA186" s="100" t="e">
        <f t="shared" si="88"/>
        <v>#VALUE!</v>
      </c>
      <c r="AB186" s="100" t="e">
        <f t="shared" si="89"/>
        <v>#VALUE!</v>
      </c>
      <c r="AC186" s="100" t="e">
        <f t="shared" si="90"/>
        <v>#VALUE!</v>
      </c>
      <c r="AD186" s="100" t="e">
        <f t="shared" si="91"/>
        <v>#VALUE!</v>
      </c>
      <c r="AE186" s="8" t="str">
        <f t="shared" si="64"/>
        <v/>
      </c>
      <c r="AF186" s="8" t="str">
        <f t="shared" si="65"/>
        <v/>
      </c>
      <c r="AG186" s="7" t="str">
        <f t="shared" si="92"/>
        <v>Good</v>
      </c>
      <c r="AI186" s="100">
        <f t="shared" si="93"/>
        <v>28.954727493</v>
      </c>
      <c r="AJ186" s="100">
        <f t="shared" si="94"/>
        <v>47.851597488000003</v>
      </c>
    </row>
    <row r="187" spans="1:36" x14ac:dyDescent="0.2">
      <c r="A187" s="8">
        <v>12.31</v>
      </c>
      <c r="D187" s="101">
        <v>12310</v>
      </c>
      <c r="E187" s="42">
        <f t="shared" si="66"/>
        <v>438.98534753517743</v>
      </c>
      <c r="F187" s="7">
        <f t="shared" si="67"/>
        <v>1</v>
      </c>
      <c r="G187" s="100">
        <f t="shared" si="68"/>
        <v>28.954727493</v>
      </c>
      <c r="H187" s="100">
        <f t="shared" si="69"/>
        <v>47.851597488000003</v>
      </c>
      <c r="I187" s="100">
        <f t="shared" si="70"/>
        <v>28.956105249</v>
      </c>
      <c r="J187" s="100">
        <f t="shared" si="71"/>
        <v>47.846245746000001</v>
      </c>
      <c r="K187" s="102">
        <f t="shared" si="72"/>
        <v>38</v>
      </c>
      <c r="L187" s="103">
        <f t="shared" si="73"/>
        <v>3206319.8572514947</v>
      </c>
      <c r="M187" s="103">
        <f t="shared" si="74"/>
        <v>777927.73459262378</v>
      </c>
      <c r="N187" s="103">
        <f t="shared" si="75"/>
        <v>3206460.0286423671</v>
      </c>
      <c r="O187" s="103">
        <f t="shared" si="76"/>
        <v>777402.22681566596</v>
      </c>
      <c r="P187" s="105">
        <f t="shared" si="77"/>
        <v>140.17139087244868</v>
      </c>
      <c r="Q187" s="105">
        <f t="shared" si="78"/>
        <v>-525.50777695782017</v>
      </c>
      <c r="R187" s="104">
        <f t="shared" si="79"/>
        <v>543.88090834507773</v>
      </c>
      <c r="S187" s="104" t="str">
        <f t="shared" si="80"/>
        <v>NW</v>
      </c>
      <c r="T187" s="105">
        <f t="shared" si="81"/>
        <v>0.26066631877977303</v>
      </c>
      <c r="U187" s="14">
        <f t="shared" si="82"/>
        <v>-424.15574909994905</v>
      </c>
      <c r="V187" s="14">
        <f t="shared" si="83"/>
        <v>113.13724345254998</v>
      </c>
      <c r="W187" s="103">
        <f t="shared" si="84"/>
        <v>3206432.9944949471</v>
      </c>
      <c r="X187" s="103">
        <f t="shared" si="85"/>
        <v>777503.57884352386</v>
      </c>
      <c r="Y187" s="100">
        <f t="shared" si="86"/>
        <v>28.955839520020071</v>
      </c>
      <c r="Z187" s="100">
        <f t="shared" si="87"/>
        <v>47.847277923033694</v>
      </c>
      <c r="AA187" s="100">
        <f t="shared" si="88"/>
        <v>-1.1120270200706273E-3</v>
      </c>
      <c r="AB187" s="100">
        <f t="shared" si="89"/>
        <v>-2.6572897992949152E-4</v>
      </c>
      <c r="AC187" s="100">
        <f t="shared" si="90"/>
        <v>4.3195649663090308E-3</v>
      </c>
      <c r="AD187" s="100">
        <f t="shared" si="91"/>
        <v>1.0321770336929603E-3</v>
      </c>
      <c r="AE187" s="8" t="str">
        <f t="shared" si="64"/>
        <v>Good</v>
      </c>
      <c r="AF187" s="8" t="str">
        <f t="shared" si="65"/>
        <v>Good</v>
      </c>
      <c r="AG187" s="7" t="str">
        <f t="shared" si="92"/>
        <v>Good</v>
      </c>
      <c r="AI187" s="100">
        <f t="shared" si="93"/>
        <v>28.955839520020071</v>
      </c>
      <c r="AJ187" s="100">
        <f t="shared" si="94"/>
        <v>47.847277923033694</v>
      </c>
    </row>
    <row r="188" spans="1:36" x14ac:dyDescent="0.2">
      <c r="A188" s="8">
        <v>12.413</v>
      </c>
      <c r="B188" s="100">
        <v>28.956105249</v>
      </c>
      <c r="C188" s="100">
        <v>47.846245746000001</v>
      </c>
      <c r="D188" s="101">
        <v>12413.415787944205</v>
      </c>
      <c r="E188" s="42" t="str">
        <f t="shared" si="66"/>
        <v/>
      </c>
      <c r="F188" s="7" t="str">
        <f t="shared" si="67"/>
        <v/>
      </c>
      <c r="G188" s="100" t="str">
        <f t="shared" si="68"/>
        <v/>
      </c>
      <c r="H188" s="100" t="str">
        <f t="shared" si="69"/>
        <v/>
      </c>
      <c r="I188" s="100" t="str">
        <f t="shared" si="70"/>
        <v/>
      </c>
      <c r="J188" s="100" t="str">
        <f t="shared" si="71"/>
        <v/>
      </c>
      <c r="K188" s="102" t="str">
        <f t="shared" si="72"/>
        <v/>
      </c>
      <c r="L188" s="103" t="str">
        <f t="shared" si="73"/>
        <v/>
      </c>
      <c r="M188" s="103" t="str">
        <f t="shared" si="74"/>
        <v/>
      </c>
      <c r="N188" s="103" t="str">
        <f t="shared" si="75"/>
        <v/>
      </c>
      <c r="O188" s="103" t="str">
        <f t="shared" si="76"/>
        <v/>
      </c>
      <c r="P188" s="105" t="str">
        <f t="shared" si="77"/>
        <v/>
      </c>
      <c r="Q188" s="105" t="str">
        <f t="shared" si="78"/>
        <v/>
      </c>
      <c r="R188" s="104" t="str">
        <f t="shared" si="79"/>
        <v/>
      </c>
      <c r="S188" s="104" t="str">
        <f t="shared" si="80"/>
        <v/>
      </c>
      <c r="T188" s="105" t="str">
        <f t="shared" si="81"/>
        <v/>
      </c>
      <c r="U188" s="14" t="str">
        <f t="shared" si="82"/>
        <v/>
      </c>
      <c r="V188" s="14" t="str">
        <f t="shared" si="83"/>
        <v/>
      </c>
      <c r="W188" s="103" t="str">
        <f t="shared" si="84"/>
        <v/>
      </c>
      <c r="X188" s="103" t="str">
        <f t="shared" si="85"/>
        <v/>
      </c>
      <c r="Y188" s="100" t="str">
        <f t="shared" si="86"/>
        <v/>
      </c>
      <c r="Z188" s="100" t="str">
        <f t="shared" si="87"/>
        <v/>
      </c>
      <c r="AA188" s="100" t="e">
        <f t="shared" si="88"/>
        <v>#VALUE!</v>
      </c>
      <c r="AB188" s="100" t="e">
        <f t="shared" si="89"/>
        <v>#VALUE!</v>
      </c>
      <c r="AC188" s="100" t="e">
        <f t="shared" si="90"/>
        <v>#VALUE!</v>
      </c>
      <c r="AD188" s="100" t="e">
        <f t="shared" si="91"/>
        <v>#VALUE!</v>
      </c>
      <c r="AE188" s="8" t="str">
        <f t="shared" si="64"/>
        <v/>
      </c>
      <c r="AF188" s="8" t="str">
        <f t="shared" si="65"/>
        <v/>
      </c>
      <c r="AG188" s="7" t="str">
        <f t="shared" si="92"/>
        <v>Good</v>
      </c>
      <c r="AI188" s="100">
        <f t="shared" si="93"/>
        <v>28.956105249</v>
      </c>
      <c r="AJ188" s="100">
        <f t="shared" si="94"/>
        <v>47.846245746000001</v>
      </c>
    </row>
    <row r="189" spans="1:36" x14ac:dyDescent="0.2">
      <c r="A189" s="8">
        <v>13.047000000000001</v>
      </c>
      <c r="D189" s="101">
        <v>13047</v>
      </c>
      <c r="E189" s="42">
        <f t="shared" si="66"/>
        <v>633.58421205579543</v>
      </c>
      <c r="F189" s="7">
        <f t="shared" si="67"/>
        <v>1</v>
      </c>
      <c r="G189" s="100">
        <f t="shared" si="68"/>
        <v>28.956105249</v>
      </c>
      <c r="H189" s="100">
        <f t="shared" si="69"/>
        <v>47.846245746000001</v>
      </c>
      <c r="I189" s="100">
        <f t="shared" si="70"/>
        <v>28.957741326000001</v>
      </c>
      <c r="J189" s="100">
        <f t="shared" si="71"/>
        <v>47.839994068999999</v>
      </c>
      <c r="K189" s="102">
        <f t="shared" si="72"/>
        <v>38</v>
      </c>
      <c r="L189" s="103">
        <f t="shared" si="73"/>
        <v>3206460.0286423671</v>
      </c>
      <c r="M189" s="103">
        <f t="shared" si="74"/>
        <v>777402.22681566596</v>
      </c>
      <c r="N189" s="103">
        <f t="shared" si="75"/>
        <v>3206626.7534885611</v>
      </c>
      <c r="O189" s="103">
        <f t="shared" si="76"/>
        <v>776788.29907712771</v>
      </c>
      <c r="P189" s="105">
        <f t="shared" si="77"/>
        <v>166.72484619403258</v>
      </c>
      <c r="Q189" s="105">
        <f t="shared" si="78"/>
        <v>-613.92773853824474</v>
      </c>
      <c r="R189" s="104">
        <f t="shared" si="79"/>
        <v>636.16384877255268</v>
      </c>
      <c r="S189" s="104" t="str">
        <f t="shared" si="80"/>
        <v>NW</v>
      </c>
      <c r="T189" s="105">
        <f t="shared" si="81"/>
        <v>0.26517532287632561</v>
      </c>
      <c r="U189" s="14">
        <f t="shared" si="82"/>
        <v>-611.43826897969518</v>
      </c>
      <c r="V189" s="14">
        <f t="shared" si="83"/>
        <v>166.04877895810327</v>
      </c>
      <c r="W189" s="103">
        <f t="shared" si="84"/>
        <v>3206626.0774213253</v>
      </c>
      <c r="X189" s="103">
        <f t="shared" si="85"/>
        <v>776790.78854668629</v>
      </c>
      <c r="Y189" s="100">
        <f t="shared" si="86"/>
        <v>28.957734668129888</v>
      </c>
      <c r="Z189" s="100">
        <f t="shared" si="87"/>
        <v>47.840019421088897</v>
      </c>
      <c r="AA189" s="100">
        <f t="shared" si="88"/>
        <v>-1.629419129887566E-3</v>
      </c>
      <c r="AB189" s="100">
        <f t="shared" si="89"/>
        <v>-6.657870113002673E-6</v>
      </c>
      <c r="AC189" s="100">
        <f t="shared" si="90"/>
        <v>6.2263249111040864E-3</v>
      </c>
      <c r="AD189" s="100">
        <f t="shared" si="91"/>
        <v>2.5352088897534486E-5</v>
      </c>
      <c r="AE189" s="8" t="str">
        <f t="shared" si="64"/>
        <v>Good</v>
      </c>
      <c r="AF189" s="8" t="str">
        <f t="shared" si="65"/>
        <v>Good</v>
      </c>
      <c r="AG189" s="7" t="str">
        <f t="shared" si="92"/>
        <v>Good</v>
      </c>
      <c r="AI189" s="100">
        <f t="shared" si="93"/>
        <v>28.957734668129888</v>
      </c>
      <c r="AJ189" s="100">
        <f t="shared" si="94"/>
        <v>47.840019421088897</v>
      </c>
    </row>
    <row r="190" spans="1:36" x14ac:dyDescent="0.2">
      <c r="A190" s="8">
        <v>13.048</v>
      </c>
      <c r="B190" s="100">
        <v>28.957741326000001</v>
      </c>
      <c r="C190" s="100">
        <v>47.839994068999999</v>
      </c>
      <c r="D190" s="101">
        <v>13047.859144892875</v>
      </c>
      <c r="E190" s="42" t="str">
        <f t="shared" si="66"/>
        <v/>
      </c>
      <c r="F190" s="7" t="str">
        <f t="shared" si="67"/>
        <v/>
      </c>
      <c r="G190" s="100" t="str">
        <f t="shared" si="68"/>
        <v/>
      </c>
      <c r="H190" s="100" t="str">
        <f t="shared" si="69"/>
        <v/>
      </c>
      <c r="I190" s="100" t="str">
        <f t="shared" si="70"/>
        <v/>
      </c>
      <c r="J190" s="100" t="str">
        <f t="shared" si="71"/>
        <v/>
      </c>
      <c r="K190" s="102" t="str">
        <f t="shared" si="72"/>
        <v/>
      </c>
      <c r="L190" s="103" t="str">
        <f t="shared" si="73"/>
        <v/>
      </c>
      <c r="M190" s="103" t="str">
        <f t="shared" si="74"/>
        <v/>
      </c>
      <c r="N190" s="103" t="str">
        <f t="shared" si="75"/>
        <v/>
      </c>
      <c r="O190" s="103" t="str">
        <f t="shared" si="76"/>
        <v/>
      </c>
      <c r="P190" s="105" t="str">
        <f t="shared" si="77"/>
        <v/>
      </c>
      <c r="Q190" s="105" t="str">
        <f t="shared" si="78"/>
        <v/>
      </c>
      <c r="R190" s="104" t="str">
        <f t="shared" si="79"/>
        <v/>
      </c>
      <c r="S190" s="104" t="str">
        <f t="shared" si="80"/>
        <v/>
      </c>
      <c r="T190" s="105" t="str">
        <f t="shared" si="81"/>
        <v/>
      </c>
      <c r="U190" s="14" t="str">
        <f t="shared" si="82"/>
        <v/>
      </c>
      <c r="V190" s="14" t="str">
        <f t="shared" si="83"/>
        <v/>
      </c>
      <c r="W190" s="103" t="str">
        <f t="shared" si="84"/>
        <v/>
      </c>
      <c r="X190" s="103" t="str">
        <f t="shared" si="85"/>
        <v/>
      </c>
      <c r="Y190" s="100" t="str">
        <f t="shared" si="86"/>
        <v/>
      </c>
      <c r="Z190" s="100" t="str">
        <f t="shared" si="87"/>
        <v/>
      </c>
      <c r="AA190" s="100" t="e">
        <f t="shared" si="88"/>
        <v>#VALUE!</v>
      </c>
      <c r="AB190" s="100" t="e">
        <f t="shared" si="89"/>
        <v>#VALUE!</v>
      </c>
      <c r="AC190" s="100" t="e">
        <f t="shared" si="90"/>
        <v>#VALUE!</v>
      </c>
      <c r="AD190" s="100" t="e">
        <f t="shared" si="91"/>
        <v>#VALUE!</v>
      </c>
      <c r="AE190" s="8" t="str">
        <f t="shared" si="64"/>
        <v/>
      </c>
      <c r="AF190" s="8" t="str">
        <f t="shared" si="65"/>
        <v/>
      </c>
      <c r="AG190" s="7" t="str">
        <f t="shared" si="92"/>
        <v>Good</v>
      </c>
      <c r="AI190" s="100">
        <f t="shared" si="93"/>
        <v>28.957741326000001</v>
      </c>
      <c r="AJ190" s="100">
        <f t="shared" si="94"/>
        <v>47.839994068999999</v>
      </c>
    </row>
    <row r="191" spans="1:36" x14ac:dyDescent="0.2">
      <c r="A191" s="8">
        <v>13.061999999999999</v>
      </c>
      <c r="B191" s="100">
        <v>28.957777051000001</v>
      </c>
      <c r="C191" s="100">
        <v>47.839856877000003</v>
      </c>
      <c r="D191" s="101">
        <v>13061.775800721342</v>
      </c>
      <c r="E191" s="42" t="str">
        <f t="shared" si="66"/>
        <v/>
      </c>
      <c r="F191" s="7" t="str">
        <f t="shared" si="67"/>
        <v/>
      </c>
      <c r="G191" s="100" t="str">
        <f t="shared" si="68"/>
        <v/>
      </c>
      <c r="H191" s="100" t="str">
        <f t="shared" si="69"/>
        <v/>
      </c>
      <c r="I191" s="100" t="str">
        <f t="shared" si="70"/>
        <v/>
      </c>
      <c r="J191" s="100" t="str">
        <f t="shared" si="71"/>
        <v/>
      </c>
      <c r="K191" s="102" t="str">
        <f t="shared" si="72"/>
        <v/>
      </c>
      <c r="L191" s="103" t="str">
        <f t="shared" si="73"/>
        <v/>
      </c>
      <c r="M191" s="103" t="str">
        <f t="shared" si="74"/>
        <v/>
      </c>
      <c r="N191" s="103" t="str">
        <f t="shared" si="75"/>
        <v/>
      </c>
      <c r="O191" s="103" t="str">
        <f t="shared" si="76"/>
        <v/>
      </c>
      <c r="P191" s="105" t="str">
        <f t="shared" si="77"/>
        <v/>
      </c>
      <c r="Q191" s="105" t="str">
        <f t="shared" si="78"/>
        <v/>
      </c>
      <c r="R191" s="104" t="str">
        <f t="shared" si="79"/>
        <v/>
      </c>
      <c r="S191" s="104" t="str">
        <f t="shared" si="80"/>
        <v/>
      </c>
      <c r="T191" s="105" t="str">
        <f t="shared" si="81"/>
        <v/>
      </c>
      <c r="U191" s="14" t="str">
        <f t="shared" si="82"/>
        <v/>
      </c>
      <c r="V191" s="14" t="str">
        <f t="shared" si="83"/>
        <v/>
      </c>
      <c r="W191" s="103" t="str">
        <f t="shared" si="84"/>
        <v/>
      </c>
      <c r="X191" s="103" t="str">
        <f t="shared" si="85"/>
        <v/>
      </c>
      <c r="Y191" s="100" t="str">
        <f t="shared" si="86"/>
        <v/>
      </c>
      <c r="Z191" s="100" t="str">
        <f t="shared" si="87"/>
        <v/>
      </c>
      <c r="AA191" s="100" t="e">
        <f t="shared" si="88"/>
        <v>#VALUE!</v>
      </c>
      <c r="AB191" s="100" t="e">
        <f t="shared" si="89"/>
        <v>#VALUE!</v>
      </c>
      <c r="AC191" s="100" t="e">
        <f t="shared" si="90"/>
        <v>#VALUE!</v>
      </c>
      <c r="AD191" s="100" t="e">
        <f t="shared" si="91"/>
        <v>#VALUE!</v>
      </c>
      <c r="AE191" s="8" t="str">
        <f t="shared" si="64"/>
        <v/>
      </c>
      <c r="AF191" s="8" t="str">
        <f t="shared" si="65"/>
        <v/>
      </c>
      <c r="AG191" s="7" t="str">
        <f t="shared" si="92"/>
        <v>Good</v>
      </c>
      <c r="AI191" s="100">
        <f t="shared" si="93"/>
        <v>28.957777051000001</v>
      </c>
      <c r="AJ191" s="100">
        <f t="shared" si="94"/>
        <v>47.839856877000003</v>
      </c>
    </row>
    <row r="192" spans="1:36" x14ac:dyDescent="0.2">
      <c r="A192" s="8">
        <v>13.074999999999999</v>
      </c>
      <c r="B192" s="100">
        <v>28.957813230999999</v>
      </c>
      <c r="C192" s="100">
        <v>47.839725954999999</v>
      </c>
      <c r="D192" s="101">
        <v>13075.1250106597</v>
      </c>
      <c r="E192" s="42" t="str">
        <f t="shared" si="66"/>
        <v/>
      </c>
      <c r="F192" s="7" t="str">
        <f t="shared" si="67"/>
        <v/>
      </c>
      <c r="G192" s="100" t="str">
        <f t="shared" si="68"/>
        <v/>
      </c>
      <c r="H192" s="100" t="str">
        <f t="shared" si="69"/>
        <v/>
      </c>
      <c r="I192" s="100" t="str">
        <f t="shared" si="70"/>
        <v/>
      </c>
      <c r="J192" s="100" t="str">
        <f t="shared" si="71"/>
        <v/>
      </c>
      <c r="K192" s="102" t="str">
        <f t="shared" si="72"/>
        <v/>
      </c>
      <c r="L192" s="103" t="str">
        <f t="shared" si="73"/>
        <v/>
      </c>
      <c r="M192" s="103" t="str">
        <f t="shared" si="74"/>
        <v/>
      </c>
      <c r="N192" s="103" t="str">
        <f t="shared" si="75"/>
        <v/>
      </c>
      <c r="O192" s="103" t="str">
        <f t="shared" si="76"/>
        <v/>
      </c>
      <c r="P192" s="105" t="str">
        <f t="shared" si="77"/>
        <v/>
      </c>
      <c r="Q192" s="105" t="str">
        <f t="shared" si="78"/>
        <v/>
      </c>
      <c r="R192" s="104" t="str">
        <f t="shared" si="79"/>
        <v/>
      </c>
      <c r="S192" s="104" t="str">
        <f t="shared" si="80"/>
        <v/>
      </c>
      <c r="T192" s="105" t="str">
        <f t="shared" si="81"/>
        <v/>
      </c>
      <c r="U192" s="14" t="str">
        <f t="shared" si="82"/>
        <v/>
      </c>
      <c r="V192" s="14" t="str">
        <f t="shared" si="83"/>
        <v/>
      </c>
      <c r="W192" s="103" t="str">
        <f t="shared" si="84"/>
        <v/>
      </c>
      <c r="X192" s="103" t="str">
        <f t="shared" si="85"/>
        <v/>
      </c>
      <c r="Y192" s="100" t="str">
        <f t="shared" si="86"/>
        <v/>
      </c>
      <c r="Z192" s="100" t="str">
        <f t="shared" si="87"/>
        <v/>
      </c>
      <c r="AA192" s="100" t="e">
        <f t="shared" si="88"/>
        <v>#VALUE!</v>
      </c>
      <c r="AB192" s="100" t="e">
        <f t="shared" si="89"/>
        <v>#VALUE!</v>
      </c>
      <c r="AC192" s="100" t="e">
        <f t="shared" si="90"/>
        <v>#VALUE!</v>
      </c>
      <c r="AD192" s="100" t="e">
        <f t="shared" si="91"/>
        <v>#VALUE!</v>
      </c>
      <c r="AE192" s="8" t="str">
        <f t="shared" si="64"/>
        <v/>
      </c>
      <c r="AF192" s="8" t="str">
        <f t="shared" si="65"/>
        <v/>
      </c>
      <c r="AG192" s="7" t="str">
        <f t="shared" si="92"/>
        <v>Good</v>
      </c>
      <c r="AI192" s="100">
        <f t="shared" si="93"/>
        <v>28.957813230999999</v>
      </c>
      <c r="AJ192" s="100">
        <f t="shared" si="94"/>
        <v>47.839725954999999</v>
      </c>
    </row>
    <row r="193" spans="1:36" x14ac:dyDescent="0.2">
      <c r="A193" s="8">
        <v>13.081</v>
      </c>
      <c r="B193" s="100">
        <v>28.957828069000001</v>
      </c>
      <c r="C193" s="100">
        <v>47.839668023000002</v>
      </c>
      <c r="D193" s="101">
        <v>13080.993997913833</v>
      </c>
      <c r="E193" s="42" t="str">
        <f t="shared" si="66"/>
        <v/>
      </c>
      <c r="F193" s="7" t="str">
        <f t="shared" si="67"/>
        <v/>
      </c>
      <c r="G193" s="100" t="str">
        <f t="shared" si="68"/>
        <v/>
      </c>
      <c r="H193" s="100" t="str">
        <f t="shared" si="69"/>
        <v/>
      </c>
      <c r="I193" s="100" t="str">
        <f t="shared" si="70"/>
        <v/>
      </c>
      <c r="J193" s="100" t="str">
        <f t="shared" si="71"/>
        <v/>
      </c>
      <c r="K193" s="102" t="str">
        <f t="shared" si="72"/>
        <v/>
      </c>
      <c r="L193" s="103" t="str">
        <f t="shared" si="73"/>
        <v/>
      </c>
      <c r="M193" s="103" t="str">
        <f t="shared" si="74"/>
        <v/>
      </c>
      <c r="N193" s="103" t="str">
        <f t="shared" si="75"/>
        <v/>
      </c>
      <c r="O193" s="103" t="str">
        <f t="shared" si="76"/>
        <v/>
      </c>
      <c r="P193" s="105" t="str">
        <f t="shared" si="77"/>
        <v/>
      </c>
      <c r="Q193" s="105" t="str">
        <f t="shared" si="78"/>
        <v/>
      </c>
      <c r="R193" s="104" t="str">
        <f t="shared" si="79"/>
        <v/>
      </c>
      <c r="S193" s="104" t="str">
        <f t="shared" si="80"/>
        <v/>
      </c>
      <c r="T193" s="105" t="str">
        <f t="shared" si="81"/>
        <v/>
      </c>
      <c r="U193" s="14" t="str">
        <f t="shared" si="82"/>
        <v/>
      </c>
      <c r="V193" s="14" t="str">
        <f t="shared" si="83"/>
        <v/>
      </c>
      <c r="W193" s="103" t="str">
        <f t="shared" si="84"/>
        <v/>
      </c>
      <c r="X193" s="103" t="str">
        <f t="shared" si="85"/>
        <v/>
      </c>
      <c r="Y193" s="100" t="str">
        <f t="shared" si="86"/>
        <v/>
      </c>
      <c r="Z193" s="100" t="str">
        <f t="shared" si="87"/>
        <v/>
      </c>
      <c r="AA193" s="100" t="e">
        <f t="shared" si="88"/>
        <v>#VALUE!</v>
      </c>
      <c r="AB193" s="100" t="e">
        <f t="shared" si="89"/>
        <v>#VALUE!</v>
      </c>
      <c r="AC193" s="100" t="e">
        <f t="shared" si="90"/>
        <v>#VALUE!</v>
      </c>
      <c r="AD193" s="100" t="e">
        <f t="shared" si="91"/>
        <v>#VALUE!</v>
      </c>
      <c r="AE193" s="8" t="str">
        <f t="shared" si="64"/>
        <v/>
      </c>
      <c r="AF193" s="8" t="str">
        <f t="shared" si="65"/>
        <v/>
      </c>
      <c r="AG193" s="7" t="str">
        <f t="shared" si="92"/>
        <v>Good</v>
      </c>
      <c r="AI193" s="100">
        <f t="shared" si="93"/>
        <v>28.957828069000001</v>
      </c>
      <c r="AJ193" s="100">
        <f t="shared" si="94"/>
        <v>47.839668023000002</v>
      </c>
    </row>
    <row r="194" spans="1:36" x14ac:dyDescent="0.2">
      <c r="A194" s="8">
        <v>13.19</v>
      </c>
      <c r="B194" s="100">
        <v>28.958111770999999</v>
      </c>
      <c r="C194" s="100">
        <v>47.838590723000003</v>
      </c>
      <c r="D194" s="101">
        <v>13190.377907519196</v>
      </c>
      <c r="E194" s="42" t="str">
        <f t="shared" si="66"/>
        <v/>
      </c>
      <c r="F194" s="7" t="str">
        <f t="shared" si="67"/>
        <v/>
      </c>
      <c r="G194" s="100" t="str">
        <f t="shared" si="68"/>
        <v/>
      </c>
      <c r="H194" s="100" t="str">
        <f t="shared" si="69"/>
        <v/>
      </c>
      <c r="I194" s="100" t="str">
        <f t="shared" si="70"/>
        <v/>
      </c>
      <c r="J194" s="100" t="str">
        <f t="shared" si="71"/>
        <v/>
      </c>
      <c r="K194" s="102" t="str">
        <f t="shared" si="72"/>
        <v/>
      </c>
      <c r="L194" s="103" t="str">
        <f t="shared" si="73"/>
        <v/>
      </c>
      <c r="M194" s="103" t="str">
        <f t="shared" si="74"/>
        <v/>
      </c>
      <c r="N194" s="103" t="str">
        <f t="shared" si="75"/>
        <v/>
      </c>
      <c r="O194" s="103" t="str">
        <f t="shared" si="76"/>
        <v/>
      </c>
      <c r="P194" s="105" t="str">
        <f t="shared" si="77"/>
        <v/>
      </c>
      <c r="Q194" s="105" t="str">
        <f t="shared" si="78"/>
        <v/>
      </c>
      <c r="R194" s="104" t="str">
        <f t="shared" si="79"/>
        <v/>
      </c>
      <c r="S194" s="104" t="str">
        <f t="shared" si="80"/>
        <v/>
      </c>
      <c r="T194" s="105" t="str">
        <f t="shared" si="81"/>
        <v/>
      </c>
      <c r="U194" s="14" t="str">
        <f t="shared" si="82"/>
        <v/>
      </c>
      <c r="V194" s="14" t="str">
        <f t="shared" si="83"/>
        <v/>
      </c>
      <c r="W194" s="103" t="str">
        <f t="shared" si="84"/>
        <v/>
      </c>
      <c r="X194" s="103" t="str">
        <f t="shared" si="85"/>
        <v/>
      </c>
      <c r="Y194" s="100" t="str">
        <f t="shared" si="86"/>
        <v/>
      </c>
      <c r="Z194" s="100" t="str">
        <f t="shared" si="87"/>
        <v/>
      </c>
      <c r="AA194" s="100" t="e">
        <f t="shared" si="88"/>
        <v>#VALUE!</v>
      </c>
      <c r="AB194" s="100" t="e">
        <f t="shared" si="89"/>
        <v>#VALUE!</v>
      </c>
      <c r="AC194" s="100" t="e">
        <f t="shared" si="90"/>
        <v>#VALUE!</v>
      </c>
      <c r="AD194" s="100" t="e">
        <f t="shared" si="91"/>
        <v>#VALUE!</v>
      </c>
      <c r="AE194" s="8" t="str">
        <f t="shared" si="64"/>
        <v/>
      </c>
      <c r="AF194" s="8" t="str">
        <f t="shared" si="65"/>
        <v/>
      </c>
      <c r="AG194" s="7" t="str">
        <f t="shared" si="92"/>
        <v>Good</v>
      </c>
      <c r="AI194" s="100">
        <f t="shared" si="93"/>
        <v>28.958111770999999</v>
      </c>
      <c r="AJ194" s="100">
        <f t="shared" si="94"/>
        <v>47.838590723000003</v>
      </c>
    </row>
    <row r="195" spans="1:36" x14ac:dyDescent="0.2">
      <c r="A195" s="8">
        <v>13.191000000000001</v>
      </c>
      <c r="B195" s="100">
        <v>28.958111171999999</v>
      </c>
      <c r="C195" s="100">
        <v>47.838582529</v>
      </c>
      <c r="D195" s="101">
        <v>13191.177305615172</v>
      </c>
      <c r="E195" s="42" t="str">
        <f t="shared" si="66"/>
        <v/>
      </c>
      <c r="F195" s="7" t="str">
        <f t="shared" si="67"/>
        <v/>
      </c>
      <c r="G195" s="100" t="str">
        <f t="shared" si="68"/>
        <v/>
      </c>
      <c r="H195" s="100" t="str">
        <f t="shared" si="69"/>
        <v/>
      </c>
      <c r="I195" s="100" t="str">
        <f t="shared" si="70"/>
        <v/>
      </c>
      <c r="J195" s="100" t="str">
        <f t="shared" si="71"/>
        <v/>
      </c>
      <c r="K195" s="102" t="str">
        <f t="shared" si="72"/>
        <v/>
      </c>
      <c r="L195" s="103" t="str">
        <f t="shared" si="73"/>
        <v/>
      </c>
      <c r="M195" s="103" t="str">
        <f t="shared" si="74"/>
        <v/>
      </c>
      <c r="N195" s="103" t="str">
        <f t="shared" si="75"/>
        <v/>
      </c>
      <c r="O195" s="103" t="str">
        <f t="shared" si="76"/>
        <v/>
      </c>
      <c r="P195" s="105" t="str">
        <f t="shared" si="77"/>
        <v/>
      </c>
      <c r="Q195" s="105" t="str">
        <f t="shared" si="78"/>
        <v/>
      </c>
      <c r="R195" s="104" t="str">
        <f t="shared" si="79"/>
        <v/>
      </c>
      <c r="S195" s="104" t="str">
        <f t="shared" si="80"/>
        <v/>
      </c>
      <c r="T195" s="105" t="str">
        <f t="shared" si="81"/>
        <v/>
      </c>
      <c r="U195" s="14" t="str">
        <f t="shared" si="82"/>
        <v/>
      </c>
      <c r="V195" s="14" t="str">
        <f t="shared" si="83"/>
        <v/>
      </c>
      <c r="W195" s="103" t="str">
        <f t="shared" si="84"/>
        <v/>
      </c>
      <c r="X195" s="103" t="str">
        <f t="shared" si="85"/>
        <v/>
      </c>
      <c r="Y195" s="100" t="str">
        <f t="shared" si="86"/>
        <v/>
      </c>
      <c r="Z195" s="100" t="str">
        <f t="shared" si="87"/>
        <v/>
      </c>
      <c r="AA195" s="100" t="e">
        <f t="shared" si="88"/>
        <v>#VALUE!</v>
      </c>
      <c r="AB195" s="100" t="e">
        <f t="shared" si="89"/>
        <v>#VALUE!</v>
      </c>
      <c r="AC195" s="100" t="e">
        <f t="shared" si="90"/>
        <v>#VALUE!</v>
      </c>
      <c r="AD195" s="100" t="e">
        <f t="shared" si="91"/>
        <v>#VALUE!</v>
      </c>
      <c r="AE195" s="8" t="str">
        <f t="shared" si="64"/>
        <v/>
      </c>
      <c r="AF195" s="8" t="str">
        <f t="shared" si="65"/>
        <v/>
      </c>
      <c r="AG195" s="7" t="str">
        <f t="shared" si="92"/>
        <v>Good</v>
      </c>
      <c r="AI195" s="100">
        <f t="shared" si="93"/>
        <v>28.958111171999999</v>
      </c>
      <c r="AJ195" s="100">
        <f t="shared" si="94"/>
        <v>47.838582529</v>
      </c>
    </row>
    <row r="196" spans="1:36" x14ac:dyDescent="0.2">
      <c r="A196" s="8">
        <v>13.192</v>
      </c>
      <c r="B196" s="100">
        <v>28.958116981</v>
      </c>
      <c r="C196" s="100">
        <v>47.838575315</v>
      </c>
      <c r="D196" s="101">
        <v>13192.12601661336</v>
      </c>
      <c r="E196" s="42" t="str">
        <f t="shared" si="66"/>
        <v/>
      </c>
      <c r="F196" s="7" t="str">
        <f t="shared" si="67"/>
        <v/>
      </c>
      <c r="G196" s="100" t="str">
        <f t="shared" si="68"/>
        <v/>
      </c>
      <c r="H196" s="100" t="str">
        <f t="shared" si="69"/>
        <v/>
      </c>
      <c r="I196" s="100" t="str">
        <f t="shared" si="70"/>
        <v/>
      </c>
      <c r="J196" s="100" t="str">
        <f t="shared" si="71"/>
        <v/>
      </c>
      <c r="K196" s="102" t="str">
        <f t="shared" si="72"/>
        <v/>
      </c>
      <c r="L196" s="103" t="str">
        <f t="shared" si="73"/>
        <v/>
      </c>
      <c r="M196" s="103" t="str">
        <f t="shared" si="74"/>
        <v/>
      </c>
      <c r="N196" s="103" t="str">
        <f t="shared" si="75"/>
        <v/>
      </c>
      <c r="O196" s="103" t="str">
        <f t="shared" si="76"/>
        <v/>
      </c>
      <c r="P196" s="105" t="str">
        <f t="shared" si="77"/>
        <v/>
      </c>
      <c r="Q196" s="105" t="str">
        <f t="shared" si="78"/>
        <v/>
      </c>
      <c r="R196" s="104" t="str">
        <f t="shared" si="79"/>
        <v/>
      </c>
      <c r="S196" s="104" t="str">
        <f t="shared" si="80"/>
        <v/>
      </c>
      <c r="T196" s="105" t="str">
        <f t="shared" si="81"/>
        <v/>
      </c>
      <c r="U196" s="14" t="str">
        <f t="shared" si="82"/>
        <v/>
      </c>
      <c r="V196" s="14" t="str">
        <f t="shared" si="83"/>
        <v/>
      </c>
      <c r="W196" s="103" t="str">
        <f t="shared" si="84"/>
        <v/>
      </c>
      <c r="X196" s="103" t="str">
        <f t="shared" si="85"/>
        <v/>
      </c>
      <c r="Y196" s="100" t="str">
        <f t="shared" si="86"/>
        <v/>
      </c>
      <c r="Z196" s="100" t="str">
        <f t="shared" si="87"/>
        <v/>
      </c>
      <c r="AA196" s="100" t="e">
        <f t="shared" si="88"/>
        <v>#VALUE!</v>
      </c>
      <c r="AB196" s="100" t="e">
        <f t="shared" si="89"/>
        <v>#VALUE!</v>
      </c>
      <c r="AC196" s="100" t="e">
        <f t="shared" si="90"/>
        <v>#VALUE!</v>
      </c>
      <c r="AD196" s="100" t="e">
        <f t="shared" si="91"/>
        <v>#VALUE!</v>
      </c>
      <c r="AE196" s="8" t="str">
        <f t="shared" ref="AE196:AE259" si="95">IF(E196="","",IF(OR(AND(AA196&gt;0,AB196&gt;0),AND(AA196&lt;0,AB196&lt;0)),"Good",""))</f>
        <v/>
      </c>
      <c r="AF196" s="8" t="str">
        <f t="shared" ref="AF196:AF259" si="96">IF(E196="","",IF(OR(AND(AC196&gt;0,AD196&gt;0),AND(AC196&lt;0,AD196&lt;0)),"Good",""))</f>
        <v/>
      </c>
      <c r="AG196" s="7" t="str">
        <f t="shared" si="92"/>
        <v>Good</v>
      </c>
      <c r="AI196" s="100">
        <f t="shared" si="93"/>
        <v>28.958116981</v>
      </c>
      <c r="AJ196" s="100">
        <f t="shared" si="94"/>
        <v>47.838575315</v>
      </c>
    </row>
    <row r="197" spans="1:36" x14ac:dyDescent="0.2">
      <c r="A197" s="8">
        <v>13.193</v>
      </c>
      <c r="B197" s="100">
        <v>28.958116024999999</v>
      </c>
      <c r="C197" s="100">
        <v>47.838566718000003</v>
      </c>
      <c r="D197" s="101">
        <v>13192.963895480285</v>
      </c>
      <c r="E197" s="42" t="str">
        <f t="shared" si="66"/>
        <v/>
      </c>
      <c r="F197" s="7" t="str">
        <f t="shared" si="67"/>
        <v/>
      </c>
      <c r="G197" s="100" t="str">
        <f t="shared" si="68"/>
        <v/>
      </c>
      <c r="H197" s="100" t="str">
        <f t="shared" si="69"/>
        <v/>
      </c>
      <c r="I197" s="100" t="str">
        <f t="shared" si="70"/>
        <v/>
      </c>
      <c r="J197" s="100" t="str">
        <f t="shared" si="71"/>
        <v/>
      </c>
      <c r="K197" s="102" t="str">
        <f t="shared" si="72"/>
        <v/>
      </c>
      <c r="L197" s="103" t="str">
        <f t="shared" si="73"/>
        <v/>
      </c>
      <c r="M197" s="103" t="str">
        <f t="shared" si="74"/>
        <v/>
      </c>
      <c r="N197" s="103" t="str">
        <f t="shared" si="75"/>
        <v/>
      </c>
      <c r="O197" s="103" t="str">
        <f t="shared" si="76"/>
        <v/>
      </c>
      <c r="P197" s="105" t="str">
        <f t="shared" si="77"/>
        <v/>
      </c>
      <c r="Q197" s="105" t="str">
        <f t="shared" si="78"/>
        <v/>
      </c>
      <c r="R197" s="104" t="str">
        <f t="shared" si="79"/>
        <v/>
      </c>
      <c r="S197" s="104" t="str">
        <f t="shared" si="80"/>
        <v/>
      </c>
      <c r="T197" s="105" t="str">
        <f t="shared" si="81"/>
        <v/>
      </c>
      <c r="U197" s="14" t="str">
        <f t="shared" si="82"/>
        <v/>
      </c>
      <c r="V197" s="14" t="str">
        <f t="shared" si="83"/>
        <v/>
      </c>
      <c r="W197" s="103" t="str">
        <f t="shared" si="84"/>
        <v/>
      </c>
      <c r="X197" s="103" t="str">
        <f t="shared" si="85"/>
        <v/>
      </c>
      <c r="Y197" s="100" t="str">
        <f t="shared" si="86"/>
        <v/>
      </c>
      <c r="Z197" s="100" t="str">
        <f t="shared" si="87"/>
        <v/>
      </c>
      <c r="AA197" s="100" t="e">
        <f t="shared" si="88"/>
        <v>#VALUE!</v>
      </c>
      <c r="AB197" s="100" t="e">
        <f t="shared" si="89"/>
        <v>#VALUE!</v>
      </c>
      <c r="AC197" s="100" t="e">
        <f t="shared" si="90"/>
        <v>#VALUE!</v>
      </c>
      <c r="AD197" s="100" t="e">
        <f t="shared" si="91"/>
        <v>#VALUE!</v>
      </c>
      <c r="AE197" s="8" t="str">
        <f t="shared" si="95"/>
        <v/>
      </c>
      <c r="AF197" s="8" t="str">
        <f t="shared" si="96"/>
        <v/>
      </c>
      <c r="AG197" s="7" t="str">
        <f t="shared" si="92"/>
        <v>Good</v>
      </c>
      <c r="AI197" s="100">
        <f t="shared" si="93"/>
        <v>28.958116024999999</v>
      </c>
      <c r="AJ197" s="100">
        <f t="shared" si="94"/>
        <v>47.838566718000003</v>
      </c>
    </row>
    <row r="198" spans="1:36" x14ac:dyDescent="0.2">
      <c r="A198" s="8">
        <v>13.194000000000001</v>
      </c>
      <c r="B198" s="100">
        <v>28.958115219</v>
      </c>
      <c r="C198" s="100">
        <v>47.838561568000003</v>
      </c>
      <c r="D198" s="101">
        <v>13193.474791987312</v>
      </c>
      <c r="E198" s="42" t="str">
        <f t="shared" si="66"/>
        <v/>
      </c>
      <c r="F198" s="7" t="str">
        <f t="shared" si="67"/>
        <v/>
      </c>
      <c r="G198" s="100" t="str">
        <f t="shared" si="68"/>
        <v/>
      </c>
      <c r="H198" s="100" t="str">
        <f t="shared" si="69"/>
        <v/>
      </c>
      <c r="I198" s="100" t="str">
        <f t="shared" si="70"/>
        <v/>
      </c>
      <c r="J198" s="100" t="str">
        <f t="shared" si="71"/>
        <v/>
      </c>
      <c r="K198" s="102" t="str">
        <f t="shared" si="72"/>
        <v/>
      </c>
      <c r="L198" s="103" t="str">
        <f t="shared" si="73"/>
        <v/>
      </c>
      <c r="M198" s="103" t="str">
        <f t="shared" si="74"/>
        <v/>
      </c>
      <c r="N198" s="103" t="str">
        <f t="shared" si="75"/>
        <v/>
      </c>
      <c r="O198" s="103" t="str">
        <f t="shared" si="76"/>
        <v/>
      </c>
      <c r="P198" s="105" t="str">
        <f t="shared" si="77"/>
        <v/>
      </c>
      <c r="Q198" s="105" t="str">
        <f t="shared" si="78"/>
        <v/>
      </c>
      <c r="R198" s="104" t="str">
        <f t="shared" si="79"/>
        <v/>
      </c>
      <c r="S198" s="104" t="str">
        <f t="shared" si="80"/>
        <v/>
      </c>
      <c r="T198" s="105" t="str">
        <f t="shared" si="81"/>
        <v/>
      </c>
      <c r="U198" s="14" t="str">
        <f t="shared" si="82"/>
        <v/>
      </c>
      <c r="V198" s="14" t="str">
        <f t="shared" si="83"/>
        <v/>
      </c>
      <c r="W198" s="103" t="str">
        <f t="shared" si="84"/>
        <v/>
      </c>
      <c r="X198" s="103" t="str">
        <f t="shared" si="85"/>
        <v/>
      </c>
      <c r="Y198" s="100" t="str">
        <f t="shared" si="86"/>
        <v/>
      </c>
      <c r="Z198" s="100" t="str">
        <f t="shared" si="87"/>
        <v/>
      </c>
      <c r="AA198" s="100" t="e">
        <f t="shared" si="88"/>
        <v>#VALUE!</v>
      </c>
      <c r="AB198" s="100" t="e">
        <f t="shared" si="89"/>
        <v>#VALUE!</v>
      </c>
      <c r="AC198" s="100" t="e">
        <f t="shared" si="90"/>
        <v>#VALUE!</v>
      </c>
      <c r="AD198" s="100" t="e">
        <f t="shared" si="91"/>
        <v>#VALUE!</v>
      </c>
      <c r="AE198" s="8" t="str">
        <f t="shared" si="95"/>
        <v/>
      </c>
      <c r="AF198" s="8" t="str">
        <f t="shared" si="96"/>
        <v/>
      </c>
      <c r="AG198" s="7" t="str">
        <f t="shared" si="92"/>
        <v>Good</v>
      </c>
      <c r="AI198" s="100">
        <f t="shared" si="93"/>
        <v>28.958115219</v>
      </c>
      <c r="AJ198" s="100">
        <f t="shared" si="94"/>
        <v>47.838561568000003</v>
      </c>
    </row>
    <row r="199" spans="1:36" x14ac:dyDescent="0.2">
      <c r="A199" s="8">
        <v>13.722</v>
      </c>
      <c r="B199" s="100">
        <v>28.959459940999999</v>
      </c>
      <c r="C199" s="100">
        <v>47.833349824000003</v>
      </c>
      <c r="D199" s="101">
        <v>13721.765667872069</v>
      </c>
      <c r="E199" s="42" t="str">
        <f t="shared" si="66"/>
        <v/>
      </c>
      <c r="F199" s="7" t="str">
        <f t="shared" si="67"/>
        <v/>
      </c>
      <c r="G199" s="100" t="str">
        <f t="shared" si="68"/>
        <v/>
      </c>
      <c r="H199" s="100" t="str">
        <f t="shared" si="69"/>
        <v/>
      </c>
      <c r="I199" s="100" t="str">
        <f t="shared" si="70"/>
        <v/>
      </c>
      <c r="J199" s="100" t="str">
        <f t="shared" si="71"/>
        <v/>
      </c>
      <c r="K199" s="102" t="str">
        <f t="shared" si="72"/>
        <v/>
      </c>
      <c r="L199" s="103" t="str">
        <f t="shared" si="73"/>
        <v/>
      </c>
      <c r="M199" s="103" t="str">
        <f t="shared" si="74"/>
        <v/>
      </c>
      <c r="N199" s="103" t="str">
        <f t="shared" si="75"/>
        <v/>
      </c>
      <c r="O199" s="103" t="str">
        <f t="shared" si="76"/>
        <v/>
      </c>
      <c r="P199" s="105" t="str">
        <f t="shared" si="77"/>
        <v/>
      </c>
      <c r="Q199" s="105" t="str">
        <f t="shared" si="78"/>
        <v/>
      </c>
      <c r="R199" s="104" t="str">
        <f t="shared" si="79"/>
        <v/>
      </c>
      <c r="S199" s="104" t="str">
        <f t="shared" si="80"/>
        <v/>
      </c>
      <c r="T199" s="105" t="str">
        <f t="shared" si="81"/>
        <v/>
      </c>
      <c r="U199" s="14" t="str">
        <f t="shared" si="82"/>
        <v/>
      </c>
      <c r="V199" s="14" t="str">
        <f t="shared" si="83"/>
        <v/>
      </c>
      <c r="W199" s="103" t="str">
        <f t="shared" si="84"/>
        <v/>
      </c>
      <c r="X199" s="103" t="str">
        <f t="shared" si="85"/>
        <v/>
      </c>
      <c r="Y199" s="100" t="str">
        <f t="shared" si="86"/>
        <v/>
      </c>
      <c r="Z199" s="100" t="str">
        <f t="shared" si="87"/>
        <v/>
      </c>
      <c r="AA199" s="100" t="e">
        <f t="shared" si="88"/>
        <v>#VALUE!</v>
      </c>
      <c r="AB199" s="100" t="e">
        <f t="shared" si="89"/>
        <v>#VALUE!</v>
      </c>
      <c r="AC199" s="100" t="e">
        <f t="shared" si="90"/>
        <v>#VALUE!</v>
      </c>
      <c r="AD199" s="100" t="e">
        <f t="shared" si="91"/>
        <v>#VALUE!</v>
      </c>
      <c r="AE199" s="8" t="str">
        <f t="shared" si="95"/>
        <v/>
      </c>
      <c r="AF199" s="8" t="str">
        <f t="shared" si="96"/>
        <v/>
      </c>
      <c r="AG199" s="7" t="str">
        <f t="shared" si="92"/>
        <v>Good</v>
      </c>
      <c r="AI199" s="100">
        <f t="shared" si="93"/>
        <v>28.959459940999999</v>
      </c>
      <c r="AJ199" s="100">
        <f t="shared" si="94"/>
        <v>47.833349824000003</v>
      </c>
    </row>
    <row r="200" spans="1:36" x14ac:dyDescent="0.2">
      <c r="A200" s="8">
        <v>14.164</v>
      </c>
      <c r="D200" s="101">
        <v>14164</v>
      </c>
      <c r="E200" s="42">
        <f t="shared" ref="E200:E263" si="97">IF(F200=1,D200-D199,"")</f>
        <v>442.23433212793134</v>
      </c>
      <c r="F200" s="7">
        <f t="shared" ref="F200:F263" si="98">IF(C200="",1,"")</f>
        <v>1</v>
      </c>
      <c r="G200" s="100">
        <f t="shared" ref="G200:G263" si="99">IF(F200=1,IF(B199="",G199,B199),"")</f>
        <v>28.959459940999999</v>
      </c>
      <c r="H200" s="100">
        <f t="shared" ref="H200:H263" si="100">IF(F200=1,IF(C199="",H199,C199),"")</f>
        <v>47.833349824000003</v>
      </c>
      <c r="I200" s="100">
        <f t="shared" ref="I200:I263" si="101">IF(F200=1,IF(B201="",I201,B201),"")</f>
        <v>28.961304286000001</v>
      </c>
      <c r="J200" s="100">
        <f t="shared" ref="J200:J263" si="102">IF(F200=1,IF(C201="",J201,C201),"")</f>
        <v>47.826319525999999</v>
      </c>
      <c r="K200" s="102">
        <f t="shared" ref="K200:K263" si="103">IF(F200=1,utmzone_long(J200),"")</f>
        <v>38</v>
      </c>
      <c r="L200" s="103">
        <f t="shared" ref="L200:L263" si="104">IF(F200=1,northing(G200,H200),"")</f>
        <v>3206801.7427785443</v>
      </c>
      <c r="M200" s="103">
        <f t="shared" ref="M200:M263" si="105">IF(F200=1,easting(G200,H200),"")</f>
        <v>776135.89677218138</v>
      </c>
      <c r="N200" s="103">
        <f t="shared" ref="N200:N263" si="106">IF(F200=1,northing(I200,J200),"")</f>
        <v>3206989.806380474</v>
      </c>
      <c r="O200" s="103">
        <f t="shared" ref="O200:O263" si="107">IF(F200=1,easting(I200,J200),"")</f>
        <v>775445.54440607049</v>
      </c>
      <c r="P200" s="105">
        <f t="shared" ref="P200:P263" si="108">IF(F200=1,N200-L200,"")</f>
        <v>188.06360192969441</v>
      </c>
      <c r="Q200" s="105">
        <f t="shared" ref="Q200:Q263" si="109">IF(F200=1,O200-M200,"")</f>
        <v>-690.35236611089204</v>
      </c>
      <c r="R200" s="104">
        <f t="shared" ref="R200:R263" si="110">IF(F200=1,SQRT(ABS(L200-N200)^2+ABS(M200-O200)^2),"")</f>
        <v>715.50982366818539</v>
      </c>
      <c r="S200" s="104" t="str">
        <f t="shared" ref="S200:S263" si="111">IF(F200=1,IF(N200&lt;L200,"S","N") &amp; IF(O200&lt;M200,"W","E"),"")</f>
        <v>NW</v>
      </c>
      <c r="T200" s="105">
        <f t="shared" ref="T200:T263" si="112">IF(F200=1,ABS(ATAN((P200)/Q200)),"")</f>
        <v>0.26596307419047549</v>
      </c>
      <c r="U200" s="14">
        <f t="shared" ref="U200:U263" si="113">IF(F200=1,IF(Q200&lt;0,-1*COS(T200)*E200,COS(T200)*E200),"")</f>
        <v>-426.68529132811449</v>
      </c>
      <c r="V200" s="14">
        <f t="shared" ref="V200:V263" si="114">IF(F200=1,IF(P200&lt;0,-1*SIN(T200)*E200,SIN(T200)*E200),"")</f>
        <v>116.23625371148005</v>
      </c>
      <c r="W200" s="103">
        <f t="shared" ref="W200:W263" si="115">IF(F200=1,V200+L200,"")</f>
        <v>3206917.9790322557</v>
      </c>
      <c r="X200" s="103">
        <f t="shared" ref="X200:X263" si="116">IF(F200=1,U200+M200,"")</f>
        <v>775709.21148085326</v>
      </c>
      <c r="Y200" s="100">
        <f t="shared" ref="Y200:Y263" si="117">IF(F200=1,latitude(K200,W200,X200),"")</f>
        <v>28.960599890252741</v>
      </c>
      <c r="Z200" s="100">
        <f t="shared" ref="Z200:Z263" si="118">IF(F200=1,longitude(K200,W200,X200),"")</f>
        <v>47.829004649926617</v>
      </c>
      <c r="AA200" s="100">
        <f t="shared" ref="AA200:AA263" si="119">B199-Y200</f>
        <v>-1.1399492527424115E-3</v>
      </c>
      <c r="AB200" s="100">
        <f t="shared" ref="AB200:AB263" si="120">Y200-B201</f>
        <v>-7.0439574725966736E-4</v>
      </c>
      <c r="AC200" s="100">
        <f t="shared" ref="AC200:AC263" si="121">C199-Z200</f>
        <v>4.3451740733857491E-3</v>
      </c>
      <c r="AD200" s="100">
        <f t="shared" ref="AD200:AD263" si="122">Z200-C201</f>
        <v>2.685123926617905E-3</v>
      </c>
      <c r="AE200" s="8" t="str">
        <f t="shared" si="95"/>
        <v>Good</v>
      </c>
      <c r="AF200" s="8" t="str">
        <f t="shared" si="96"/>
        <v>Good</v>
      </c>
      <c r="AG200" s="7" t="str">
        <f t="shared" ref="AG200:AG263" si="123">IF(F200=1,IF(AND(AE200="Good",AF200="Good"),"Good",""),"Good")</f>
        <v>Good</v>
      </c>
      <c r="AI200" s="100">
        <f t="shared" ref="AI200:AI263" si="124">IF(B200="",Y200,B200)</f>
        <v>28.960599890252741</v>
      </c>
      <c r="AJ200" s="100">
        <f t="shared" ref="AJ200:AJ263" si="125">IF(C200="",Z200,C200)</f>
        <v>47.829004649926617</v>
      </c>
    </row>
    <row r="201" spans="1:36" x14ac:dyDescent="0.2">
      <c r="A201" s="8">
        <v>14.435</v>
      </c>
      <c r="B201" s="100">
        <v>28.961304286000001</v>
      </c>
      <c r="C201" s="100">
        <v>47.826319525999999</v>
      </c>
      <c r="D201" s="101">
        <v>14435.347984058935</v>
      </c>
      <c r="E201" s="42" t="str">
        <f t="shared" si="97"/>
        <v/>
      </c>
      <c r="F201" s="7" t="str">
        <f t="shared" si="98"/>
        <v/>
      </c>
      <c r="G201" s="100" t="str">
        <f t="shared" si="99"/>
        <v/>
      </c>
      <c r="H201" s="100" t="str">
        <f t="shared" si="100"/>
        <v/>
      </c>
      <c r="I201" s="100" t="str">
        <f t="shared" si="101"/>
        <v/>
      </c>
      <c r="J201" s="100" t="str">
        <f t="shared" si="102"/>
        <v/>
      </c>
      <c r="K201" s="102" t="str">
        <f t="shared" si="103"/>
        <v/>
      </c>
      <c r="L201" s="103" t="str">
        <f t="shared" si="104"/>
        <v/>
      </c>
      <c r="M201" s="103" t="str">
        <f t="shared" si="105"/>
        <v/>
      </c>
      <c r="N201" s="103" t="str">
        <f t="shared" si="106"/>
        <v/>
      </c>
      <c r="O201" s="103" t="str">
        <f t="shared" si="107"/>
        <v/>
      </c>
      <c r="P201" s="105" t="str">
        <f t="shared" si="108"/>
        <v/>
      </c>
      <c r="Q201" s="105" t="str">
        <f t="shared" si="109"/>
        <v/>
      </c>
      <c r="R201" s="104" t="str">
        <f t="shared" si="110"/>
        <v/>
      </c>
      <c r="S201" s="104" t="str">
        <f t="shared" si="111"/>
        <v/>
      </c>
      <c r="T201" s="105" t="str">
        <f t="shared" si="112"/>
        <v/>
      </c>
      <c r="U201" s="14" t="str">
        <f t="shared" si="113"/>
        <v/>
      </c>
      <c r="V201" s="14" t="str">
        <f t="shared" si="114"/>
        <v/>
      </c>
      <c r="W201" s="103" t="str">
        <f t="shared" si="115"/>
        <v/>
      </c>
      <c r="X201" s="103" t="str">
        <f t="shared" si="116"/>
        <v/>
      </c>
      <c r="Y201" s="100" t="str">
        <f t="shared" si="117"/>
        <v/>
      </c>
      <c r="Z201" s="100" t="str">
        <f t="shared" si="118"/>
        <v/>
      </c>
      <c r="AA201" s="100" t="e">
        <f t="shared" si="119"/>
        <v>#VALUE!</v>
      </c>
      <c r="AB201" s="100" t="e">
        <f t="shared" si="120"/>
        <v>#VALUE!</v>
      </c>
      <c r="AC201" s="100" t="e">
        <f t="shared" si="121"/>
        <v>#VALUE!</v>
      </c>
      <c r="AD201" s="100" t="e">
        <f t="shared" si="122"/>
        <v>#VALUE!</v>
      </c>
      <c r="AE201" s="8" t="str">
        <f t="shared" si="95"/>
        <v/>
      </c>
      <c r="AF201" s="8" t="str">
        <f t="shared" si="96"/>
        <v/>
      </c>
      <c r="AG201" s="7" t="str">
        <f t="shared" si="123"/>
        <v>Good</v>
      </c>
      <c r="AI201" s="100">
        <f t="shared" si="124"/>
        <v>28.961304286000001</v>
      </c>
      <c r="AJ201" s="100">
        <f t="shared" si="125"/>
        <v>47.826319525999999</v>
      </c>
    </row>
    <row r="202" spans="1:36" x14ac:dyDescent="0.2">
      <c r="A202" s="8">
        <v>14.542999999999999</v>
      </c>
      <c r="B202" s="100">
        <v>28.961581274</v>
      </c>
      <c r="C202" s="100">
        <v>47.82525751</v>
      </c>
      <c r="D202" s="101">
        <v>14543.090941484605</v>
      </c>
      <c r="E202" s="42" t="str">
        <f t="shared" si="97"/>
        <v/>
      </c>
      <c r="F202" s="7" t="str">
        <f t="shared" si="98"/>
        <v/>
      </c>
      <c r="G202" s="100" t="str">
        <f t="shared" si="99"/>
        <v/>
      </c>
      <c r="H202" s="100" t="str">
        <f t="shared" si="100"/>
        <v/>
      </c>
      <c r="I202" s="100" t="str">
        <f t="shared" si="101"/>
        <v/>
      </c>
      <c r="J202" s="100" t="str">
        <f t="shared" si="102"/>
        <v/>
      </c>
      <c r="K202" s="102" t="str">
        <f t="shared" si="103"/>
        <v/>
      </c>
      <c r="L202" s="103" t="str">
        <f t="shared" si="104"/>
        <v/>
      </c>
      <c r="M202" s="103" t="str">
        <f t="shared" si="105"/>
        <v/>
      </c>
      <c r="N202" s="103" t="str">
        <f t="shared" si="106"/>
        <v/>
      </c>
      <c r="O202" s="103" t="str">
        <f t="shared" si="107"/>
        <v/>
      </c>
      <c r="P202" s="105" t="str">
        <f t="shared" si="108"/>
        <v/>
      </c>
      <c r="Q202" s="105" t="str">
        <f t="shared" si="109"/>
        <v/>
      </c>
      <c r="R202" s="104" t="str">
        <f t="shared" si="110"/>
        <v/>
      </c>
      <c r="S202" s="104" t="str">
        <f t="shared" si="111"/>
        <v/>
      </c>
      <c r="T202" s="105" t="str">
        <f t="shared" si="112"/>
        <v/>
      </c>
      <c r="U202" s="14" t="str">
        <f t="shared" si="113"/>
        <v/>
      </c>
      <c r="V202" s="14" t="str">
        <f t="shared" si="114"/>
        <v/>
      </c>
      <c r="W202" s="103" t="str">
        <f t="shared" si="115"/>
        <v/>
      </c>
      <c r="X202" s="103" t="str">
        <f t="shared" si="116"/>
        <v/>
      </c>
      <c r="Y202" s="100" t="str">
        <f t="shared" si="117"/>
        <v/>
      </c>
      <c r="Z202" s="100" t="str">
        <f t="shared" si="118"/>
        <v/>
      </c>
      <c r="AA202" s="100" t="e">
        <f t="shared" si="119"/>
        <v>#VALUE!</v>
      </c>
      <c r="AB202" s="100" t="e">
        <f t="shared" si="120"/>
        <v>#VALUE!</v>
      </c>
      <c r="AC202" s="100" t="e">
        <f t="shared" si="121"/>
        <v>#VALUE!</v>
      </c>
      <c r="AD202" s="100" t="e">
        <f t="shared" si="122"/>
        <v>#VALUE!</v>
      </c>
      <c r="AE202" s="8" t="str">
        <f t="shared" si="95"/>
        <v/>
      </c>
      <c r="AF202" s="8" t="str">
        <f t="shared" si="96"/>
        <v/>
      </c>
      <c r="AG202" s="7" t="str">
        <f t="shared" si="123"/>
        <v>Good</v>
      </c>
      <c r="AI202" s="100">
        <f t="shared" si="124"/>
        <v>28.961581274</v>
      </c>
      <c r="AJ202" s="100">
        <f t="shared" si="125"/>
        <v>47.82525751</v>
      </c>
    </row>
    <row r="203" spans="1:36" x14ac:dyDescent="0.2">
      <c r="A203" s="8">
        <v>15.14</v>
      </c>
      <c r="B203" s="100">
        <v>28.963113487000001</v>
      </c>
      <c r="C203" s="100">
        <v>47.819375495000003</v>
      </c>
      <c r="D203" s="101">
        <v>15139.764605914439</v>
      </c>
      <c r="E203" s="42" t="str">
        <f t="shared" si="97"/>
        <v/>
      </c>
      <c r="F203" s="7" t="str">
        <f t="shared" si="98"/>
        <v/>
      </c>
      <c r="G203" s="100" t="str">
        <f t="shared" si="99"/>
        <v/>
      </c>
      <c r="H203" s="100" t="str">
        <f t="shared" si="100"/>
        <v/>
      </c>
      <c r="I203" s="100" t="str">
        <f t="shared" si="101"/>
        <v/>
      </c>
      <c r="J203" s="100" t="str">
        <f t="shared" si="102"/>
        <v/>
      </c>
      <c r="K203" s="102" t="str">
        <f t="shared" si="103"/>
        <v/>
      </c>
      <c r="L203" s="103" t="str">
        <f t="shared" si="104"/>
        <v/>
      </c>
      <c r="M203" s="103" t="str">
        <f t="shared" si="105"/>
        <v/>
      </c>
      <c r="N203" s="103" t="str">
        <f t="shared" si="106"/>
        <v/>
      </c>
      <c r="O203" s="103" t="str">
        <f t="shared" si="107"/>
        <v/>
      </c>
      <c r="P203" s="105" t="str">
        <f t="shared" si="108"/>
        <v/>
      </c>
      <c r="Q203" s="105" t="str">
        <f t="shared" si="109"/>
        <v/>
      </c>
      <c r="R203" s="104" t="str">
        <f t="shared" si="110"/>
        <v/>
      </c>
      <c r="S203" s="104" t="str">
        <f t="shared" si="111"/>
        <v/>
      </c>
      <c r="T203" s="105" t="str">
        <f t="shared" si="112"/>
        <v/>
      </c>
      <c r="U203" s="14" t="str">
        <f t="shared" si="113"/>
        <v/>
      </c>
      <c r="V203" s="14" t="str">
        <f t="shared" si="114"/>
        <v/>
      </c>
      <c r="W203" s="103" t="str">
        <f t="shared" si="115"/>
        <v/>
      </c>
      <c r="X203" s="103" t="str">
        <f t="shared" si="116"/>
        <v/>
      </c>
      <c r="Y203" s="100" t="str">
        <f t="shared" si="117"/>
        <v/>
      </c>
      <c r="Z203" s="100" t="str">
        <f t="shared" si="118"/>
        <v/>
      </c>
      <c r="AA203" s="100" t="e">
        <f t="shared" si="119"/>
        <v>#VALUE!</v>
      </c>
      <c r="AB203" s="100" t="e">
        <f t="shared" si="120"/>
        <v>#VALUE!</v>
      </c>
      <c r="AC203" s="100" t="e">
        <f t="shared" si="121"/>
        <v>#VALUE!</v>
      </c>
      <c r="AD203" s="100" t="e">
        <f t="shared" si="122"/>
        <v>#VALUE!</v>
      </c>
      <c r="AE203" s="8" t="str">
        <f t="shared" si="95"/>
        <v/>
      </c>
      <c r="AF203" s="8" t="str">
        <f t="shared" si="96"/>
        <v/>
      </c>
      <c r="AG203" s="7" t="str">
        <f t="shared" si="123"/>
        <v>Good</v>
      </c>
      <c r="AI203" s="100">
        <f t="shared" si="124"/>
        <v>28.963113487000001</v>
      </c>
      <c r="AJ203" s="100">
        <f t="shared" si="125"/>
        <v>47.819375495000003</v>
      </c>
    </row>
    <row r="204" spans="1:36" x14ac:dyDescent="0.2">
      <c r="A204" s="8">
        <v>15.247999999999999</v>
      </c>
      <c r="D204" s="101">
        <v>15248</v>
      </c>
      <c r="E204" s="42">
        <f t="shared" si="97"/>
        <v>108.23539408556098</v>
      </c>
      <c r="F204" s="7">
        <f t="shared" si="98"/>
        <v>1</v>
      </c>
      <c r="G204" s="100">
        <f t="shared" si="99"/>
        <v>28.963113487000001</v>
      </c>
      <c r="H204" s="100">
        <f t="shared" si="100"/>
        <v>47.819375495000003</v>
      </c>
      <c r="I204" s="100">
        <f t="shared" si="101"/>
        <v>28.963407203999999</v>
      </c>
      <c r="J204" s="100">
        <f t="shared" si="102"/>
        <v>47.818299181999997</v>
      </c>
      <c r="K204" s="102">
        <f t="shared" si="103"/>
        <v>38</v>
      </c>
      <c r="L204" s="103">
        <f t="shared" si="104"/>
        <v>3207174.2140054181</v>
      </c>
      <c r="M204" s="103">
        <f t="shared" si="105"/>
        <v>774763.72209807695</v>
      </c>
      <c r="N204" s="103">
        <f t="shared" si="106"/>
        <v>3207204.274130417</v>
      </c>
      <c r="O204" s="103">
        <f t="shared" si="107"/>
        <v>774658.00794948637</v>
      </c>
      <c r="P204" s="105">
        <f t="shared" si="108"/>
        <v>30.060124998912215</v>
      </c>
      <c r="Q204" s="105">
        <f t="shared" si="109"/>
        <v>-105.71414859057404</v>
      </c>
      <c r="R204" s="104">
        <f t="shared" si="110"/>
        <v>109.90492403518687</v>
      </c>
      <c r="S204" s="104" t="str">
        <f t="shared" si="111"/>
        <v>NW</v>
      </c>
      <c r="T204" s="105">
        <f t="shared" si="112"/>
        <v>0.2770405696807694</v>
      </c>
      <c r="U204" s="14">
        <f t="shared" si="113"/>
        <v>-104.10827934749392</v>
      </c>
      <c r="V204" s="14">
        <f t="shared" si="114"/>
        <v>29.60349141842665</v>
      </c>
      <c r="W204" s="103">
        <f t="shared" si="115"/>
        <v>3207203.8174968367</v>
      </c>
      <c r="X204" s="103">
        <f t="shared" si="116"/>
        <v>774659.61381872941</v>
      </c>
      <c r="Y204" s="100">
        <f t="shared" si="117"/>
        <v>28.963402717675674</v>
      </c>
      <c r="Z204" s="100">
        <f t="shared" si="118"/>
        <v>47.81831553303747</v>
      </c>
      <c r="AA204" s="100">
        <f t="shared" si="119"/>
        <v>-2.8923067567276917E-4</v>
      </c>
      <c r="AB204" s="100">
        <f t="shared" si="120"/>
        <v>-4.4863243253701057E-6</v>
      </c>
      <c r="AC204" s="100">
        <f t="shared" si="121"/>
        <v>1.0599619625324408E-3</v>
      </c>
      <c r="AD204" s="100">
        <f t="shared" si="122"/>
        <v>1.6351037473327779E-5</v>
      </c>
      <c r="AE204" s="8" t="str">
        <f t="shared" si="95"/>
        <v>Good</v>
      </c>
      <c r="AF204" s="8" t="str">
        <f t="shared" si="96"/>
        <v>Good</v>
      </c>
      <c r="AG204" s="7" t="str">
        <f t="shared" si="123"/>
        <v>Good</v>
      </c>
      <c r="AI204" s="100">
        <f t="shared" si="124"/>
        <v>28.963402717675674</v>
      </c>
      <c r="AJ204" s="100">
        <f t="shared" si="125"/>
        <v>47.81831553303747</v>
      </c>
    </row>
    <row r="205" spans="1:36" x14ac:dyDescent="0.2">
      <c r="A205" s="8">
        <v>15.249000000000001</v>
      </c>
      <c r="B205" s="100">
        <v>28.963407203999999</v>
      </c>
      <c r="C205" s="100">
        <v>47.818299181999997</v>
      </c>
      <c r="D205" s="101">
        <v>15249.377682740291</v>
      </c>
      <c r="E205" s="42" t="str">
        <f t="shared" si="97"/>
        <v/>
      </c>
      <c r="F205" s="7" t="str">
        <f t="shared" si="98"/>
        <v/>
      </c>
      <c r="G205" s="100" t="str">
        <f t="shared" si="99"/>
        <v/>
      </c>
      <c r="H205" s="100" t="str">
        <f t="shared" si="100"/>
        <v/>
      </c>
      <c r="I205" s="100" t="str">
        <f t="shared" si="101"/>
        <v/>
      </c>
      <c r="J205" s="100" t="str">
        <f t="shared" si="102"/>
        <v/>
      </c>
      <c r="K205" s="102" t="str">
        <f t="shared" si="103"/>
        <v/>
      </c>
      <c r="L205" s="103" t="str">
        <f t="shared" si="104"/>
        <v/>
      </c>
      <c r="M205" s="103" t="str">
        <f t="shared" si="105"/>
        <v/>
      </c>
      <c r="N205" s="103" t="str">
        <f t="shared" si="106"/>
        <v/>
      </c>
      <c r="O205" s="103" t="str">
        <f t="shared" si="107"/>
        <v/>
      </c>
      <c r="P205" s="105" t="str">
        <f t="shared" si="108"/>
        <v/>
      </c>
      <c r="Q205" s="105" t="str">
        <f t="shared" si="109"/>
        <v/>
      </c>
      <c r="R205" s="104" t="str">
        <f t="shared" si="110"/>
        <v/>
      </c>
      <c r="S205" s="104" t="str">
        <f t="shared" si="111"/>
        <v/>
      </c>
      <c r="T205" s="105" t="str">
        <f t="shared" si="112"/>
        <v/>
      </c>
      <c r="U205" s="14" t="str">
        <f t="shared" si="113"/>
        <v/>
      </c>
      <c r="V205" s="14" t="str">
        <f t="shared" si="114"/>
        <v/>
      </c>
      <c r="W205" s="103" t="str">
        <f t="shared" si="115"/>
        <v/>
      </c>
      <c r="X205" s="103" t="str">
        <f t="shared" si="116"/>
        <v/>
      </c>
      <c r="Y205" s="100" t="str">
        <f t="shared" si="117"/>
        <v/>
      </c>
      <c r="Z205" s="100" t="str">
        <f t="shared" si="118"/>
        <v/>
      </c>
      <c r="AA205" s="100" t="e">
        <f t="shared" si="119"/>
        <v>#VALUE!</v>
      </c>
      <c r="AB205" s="100" t="e">
        <f t="shared" si="120"/>
        <v>#VALUE!</v>
      </c>
      <c r="AC205" s="100" t="e">
        <f t="shared" si="121"/>
        <v>#VALUE!</v>
      </c>
      <c r="AD205" s="100" t="e">
        <f t="shared" si="122"/>
        <v>#VALUE!</v>
      </c>
      <c r="AE205" s="8" t="str">
        <f t="shared" si="95"/>
        <v/>
      </c>
      <c r="AF205" s="8" t="str">
        <f t="shared" si="96"/>
        <v/>
      </c>
      <c r="AG205" s="7" t="str">
        <f t="shared" si="123"/>
        <v>Good</v>
      </c>
      <c r="AI205" s="100">
        <f t="shared" si="124"/>
        <v>28.963407203999999</v>
      </c>
      <c r="AJ205" s="100">
        <f t="shared" si="125"/>
        <v>47.818299181999997</v>
      </c>
    </row>
    <row r="206" spans="1:36" x14ac:dyDescent="0.2">
      <c r="A206" s="8">
        <v>15.266999999999999</v>
      </c>
      <c r="B206" s="100">
        <v>28.963421984</v>
      </c>
      <c r="C206" s="100">
        <v>47.818117395999998</v>
      </c>
      <c r="D206" s="101">
        <v>15267.127454496584</v>
      </c>
      <c r="E206" s="42" t="str">
        <f t="shared" si="97"/>
        <v/>
      </c>
      <c r="F206" s="7" t="str">
        <f t="shared" si="98"/>
        <v/>
      </c>
      <c r="G206" s="100" t="str">
        <f t="shared" si="99"/>
        <v/>
      </c>
      <c r="H206" s="100" t="str">
        <f t="shared" si="100"/>
        <v/>
      </c>
      <c r="I206" s="100" t="str">
        <f t="shared" si="101"/>
        <v/>
      </c>
      <c r="J206" s="100" t="str">
        <f t="shared" si="102"/>
        <v/>
      </c>
      <c r="K206" s="102" t="str">
        <f t="shared" si="103"/>
        <v/>
      </c>
      <c r="L206" s="103" t="str">
        <f t="shared" si="104"/>
        <v/>
      </c>
      <c r="M206" s="103" t="str">
        <f t="shared" si="105"/>
        <v/>
      </c>
      <c r="N206" s="103" t="str">
        <f t="shared" si="106"/>
        <v/>
      </c>
      <c r="O206" s="103" t="str">
        <f t="shared" si="107"/>
        <v/>
      </c>
      <c r="P206" s="105" t="str">
        <f t="shared" si="108"/>
        <v/>
      </c>
      <c r="Q206" s="105" t="str">
        <f t="shared" si="109"/>
        <v/>
      </c>
      <c r="R206" s="104" t="str">
        <f t="shared" si="110"/>
        <v/>
      </c>
      <c r="S206" s="104" t="str">
        <f t="shared" si="111"/>
        <v/>
      </c>
      <c r="T206" s="105" t="str">
        <f t="shared" si="112"/>
        <v/>
      </c>
      <c r="U206" s="14" t="str">
        <f t="shared" si="113"/>
        <v/>
      </c>
      <c r="V206" s="14" t="str">
        <f t="shared" si="114"/>
        <v/>
      </c>
      <c r="W206" s="103" t="str">
        <f t="shared" si="115"/>
        <v/>
      </c>
      <c r="X206" s="103" t="str">
        <f t="shared" si="116"/>
        <v/>
      </c>
      <c r="Y206" s="100" t="str">
        <f t="shared" si="117"/>
        <v/>
      </c>
      <c r="Z206" s="100" t="str">
        <f t="shared" si="118"/>
        <v/>
      </c>
      <c r="AA206" s="100" t="e">
        <f t="shared" si="119"/>
        <v>#VALUE!</v>
      </c>
      <c r="AB206" s="100" t="e">
        <f t="shared" si="120"/>
        <v>#VALUE!</v>
      </c>
      <c r="AC206" s="100" t="e">
        <f t="shared" si="121"/>
        <v>#VALUE!</v>
      </c>
      <c r="AD206" s="100" t="e">
        <f t="shared" si="122"/>
        <v>#VALUE!</v>
      </c>
      <c r="AE206" s="8" t="str">
        <f t="shared" si="95"/>
        <v/>
      </c>
      <c r="AF206" s="8" t="str">
        <f t="shared" si="96"/>
        <v/>
      </c>
      <c r="AG206" s="7" t="str">
        <f t="shared" si="123"/>
        <v>Good</v>
      </c>
      <c r="AI206" s="100">
        <f t="shared" si="124"/>
        <v>28.963421984</v>
      </c>
      <c r="AJ206" s="100">
        <f t="shared" si="125"/>
        <v>47.818117395999998</v>
      </c>
    </row>
    <row r="207" spans="1:36" x14ac:dyDescent="0.2">
      <c r="A207" s="8">
        <v>16.073</v>
      </c>
      <c r="B207" s="100">
        <v>28.965488516000001</v>
      </c>
      <c r="C207" s="100">
        <v>47.810169352999999</v>
      </c>
      <c r="D207" s="101">
        <v>16073.242249558538</v>
      </c>
      <c r="E207" s="42" t="str">
        <f t="shared" si="97"/>
        <v/>
      </c>
      <c r="F207" s="7" t="str">
        <f t="shared" si="98"/>
        <v/>
      </c>
      <c r="G207" s="100" t="str">
        <f t="shared" si="99"/>
        <v/>
      </c>
      <c r="H207" s="100" t="str">
        <f t="shared" si="100"/>
        <v/>
      </c>
      <c r="I207" s="100" t="str">
        <f t="shared" si="101"/>
        <v/>
      </c>
      <c r="J207" s="100" t="str">
        <f t="shared" si="102"/>
        <v/>
      </c>
      <c r="K207" s="102" t="str">
        <f t="shared" si="103"/>
        <v/>
      </c>
      <c r="L207" s="103" t="str">
        <f t="shared" si="104"/>
        <v/>
      </c>
      <c r="M207" s="103" t="str">
        <f t="shared" si="105"/>
        <v/>
      </c>
      <c r="N207" s="103" t="str">
        <f t="shared" si="106"/>
        <v/>
      </c>
      <c r="O207" s="103" t="str">
        <f t="shared" si="107"/>
        <v/>
      </c>
      <c r="P207" s="105" t="str">
        <f t="shared" si="108"/>
        <v/>
      </c>
      <c r="Q207" s="105" t="str">
        <f t="shared" si="109"/>
        <v/>
      </c>
      <c r="R207" s="104" t="str">
        <f t="shared" si="110"/>
        <v/>
      </c>
      <c r="S207" s="104" t="str">
        <f t="shared" si="111"/>
        <v/>
      </c>
      <c r="T207" s="105" t="str">
        <f t="shared" si="112"/>
        <v/>
      </c>
      <c r="U207" s="14" t="str">
        <f t="shared" si="113"/>
        <v/>
      </c>
      <c r="V207" s="14" t="str">
        <f t="shared" si="114"/>
        <v/>
      </c>
      <c r="W207" s="103" t="str">
        <f t="shared" si="115"/>
        <v/>
      </c>
      <c r="X207" s="103" t="str">
        <f t="shared" si="116"/>
        <v/>
      </c>
      <c r="Y207" s="100" t="str">
        <f t="shared" si="117"/>
        <v/>
      </c>
      <c r="Z207" s="100" t="str">
        <f t="shared" si="118"/>
        <v/>
      </c>
      <c r="AA207" s="100" t="e">
        <f t="shared" si="119"/>
        <v>#VALUE!</v>
      </c>
      <c r="AB207" s="100" t="e">
        <f t="shared" si="120"/>
        <v>#VALUE!</v>
      </c>
      <c r="AC207" s="100" t="e">
        <f t="shared" si="121"/>
        <v>#VALUE!</v>
      </c>
      <c r="AD207" s="100" t="e">
        <f t="shared" si="122"/>
        <v>#VALUE!</v>
      </c>
      <c r="AE207" s="8" t="str">
        <f t="shared" si="95"/>
        <v/>
      </c>
      <c r="AF207" s="8" t="str">
        <f t="shared" si="96"/>
        <v/>
      </c>
      <c r="AG207" s="7" t="str">
        <f t="shared" si="123"/>
        <v>Good</v>
      </c>
      <c r="AI207" s="100">
        <f t="shared" si="124"/>
        <v>28.965488516000001</v>
      </c>
      <c r="AJ207" s="100">
        <f t="shared" si="125"/>
        <v>47.810169352999999</v>
      </c>
    </row>
    <row r="208" spans="1:36" x14ac:dyDescent="0.2">
      <c r="A208" s="8">
        <v>16.141999999999999</v>
      </c>
      <c r="D208" s="101">
        <v>16142</v>
      </c>
      <c r="E208" s="42">
        <f t="shared" si="97"/>
        <v>68.757750441462122</v>
      </c>
      <c r="F208" s="7">
        <f t="shared" si="98"/>
        <v>1</v>
      </c>
      <c r="G208" s="100">
        <f t="shared" si="99"/>
        <v>28.965488516000001</v>
      </c>
      <c r="H208" s="100">
        <f t="shared" si="100"/>
        <v>47.810169352999999</v>
      </c>
      <c r="I208" s="100">
        <f t="shared" si="101"/>
        <v>28.966388297999998</v>
      </c>
      <c r="J208" s="100">
        <f t="shared" si="102"/>
        <v>47.806827075999998</v>
      </c>
      <c r="K208" s="102">
        <f t="shared" si="103"/>
        <v>38</v>
      </c>
      <c r="L208" s="103">
        <f t="shared" si="104"/>
        <v>3207416.1443866733</v>
      </c>
      <c r="M208" s="103">
        <f t="shared" si="105"/>
        <v>773859.88843391649</v>
      </c>
      <c r="N208" s="103">
        <f t="shared" si="106"/>
        <v>3207508.1544520389</v>
      </c>
      <c r="O208" s="103">
        <f t="shared" si="107"/>
        <v>773531.66508630454</v>
      </c>
      <c r="P208" s="105">
        <f t="shared" si="108"/>
        <v>92.010065365582705</v>
      </c>
      <c r="Q208" s="105">
        <f t="shared" si="109"/>
        <v>-328.22334761195816</v>
      </c>
      <c r="R208" s="104">
        <f t="shared" si="110"/>
        <v>340.87595697875076</v>
      </c>
      <c r="S208" s="104" t="str">
        <f t="shared" si="111"/>
        <v>NW</v>
      </c>
      <c r="T208" s="105">
        <f t="shared" si="112"/>
        <v>0.27331246645737622</v>
      </c>
      <c r="U208" s="14">
        <f t="shared" si="113"/>
        <v>-66.205605183152045</v>
      </c>
      <c r="V208" s="14">
        <f t="shared" si="114"/>
        <v>18.55925882418197</v>
      </c>
      <c r="W208" s="103">
        <f t="shared" si="115"/>
        <v>3207434.7036454976</v>
      </c>
      <c r="X208" s="103">
        <f t="shared" si="116"/>
        <v>773793.68282873335</v>
      </c>
      <c r="Y208" s="100">
        <f t="shared" si="117"/>
        <v>28.965669991708658</v>
      </c>
      <c r="Z208" s="100">
        <f t="shared" si="118"/>
        <v>47.809495191854189</v>
      </c>
      <c r="AA208" s="100">
        <f t="shared" si="119"/>
        <v>-1.8147570865778562E-4</v>
      </c>
      <c r="AB208" s="100">
        <f t="shared" si="120"/>
        <v>-7.1830629133984303E-4</v>
      </c>
      <c r="AC208" s="100">
        <f t="shared" si="121"/>
        <v>6.7416114580964859E-4</v>
      </c>
      <c r="AD208" s="100">
        <f t="shared" si="122"/>
        <v>2.6681158541919103E-3</v>
      </c>
      <c r="AE208" s="8" t="str">
        <f t="shared" si="95"/>
        <v>Good</v>
      </c>
      <c r="AF208" s="8" t="str">
        <f t="shared" si="96"/>
        <v>Good</v>
      </c>
      <c r="AG208" s="7" t="str">
        <f t="shared" si="123"/>
        <v>Good</v>
      </c>
      <c r="AI208" s="100">
        <f t="shared" si="124"/>
        <v>28.965669991708658</v>
      </c>
      <c r="AJ208" s="100">
        <f t="shared" si="125"/>
        <v>47.809495191854189</v>
      </c>
    </row>
    <row r="209" spans="1:36" x14ac:dyDescent="0.2">
      <c r="A209" s="8">
        <v>16.413</v>
      </c>
      <c r="B209" s="100">
        <v>28.966388297999998</v>
      </c>
      <c r="C209" s="100">
        <v>47.806827075999998</v>
      </c>
      <c r="D209" s="101">
        <v>16413.21161466372</v>
      </c>
      <c r="E209" s="42" t="str">
        <f t="shared" si="97"/>
        <v/>
      </c>
      <c r="F209" s="7" t="str">
        <f t="shared" si="98"/>
        <v/>
      </c>
      <c r="G209" s="100" t="str">
        <f t="shared" si="99"/>
        <v/>
      </c>
      <c r="H209" s="100" t="str">
        <f t="shared" si="100"/>
        <v/>
      </c>
      <c r="I209" s="100" t="str">
        <f t="shared" si="101"/>
        <v/>
      </c>
      <c r="J209" s="100" t="str">
        <f t="shared" si="102"/>
        <v/>
      </c>
      <c r="K209" s="102" t="str">
        <f t="shared" si="103"/>
        <v/>
      </c>
      <c r="L209" s="103" t="str">
        <f t="shared" si="104"/>
        <v/>
      </c>
      <c r="M209" s="103" t="str">
        <f t="shared" si="105"/>
        <v/>
      </c>
      <c r="N209" s="103" t="str">
        <f t="shared" si="106"/>
        <v/>
      </c>
      <c r="O209" s="103" t="str">
        <f t="shared" si="107"/>
        <v/>
      </c>
      <c r="P209" s="105" t="str">
        <f t="shared" si="108"/>
        <v/>
      </c>
      <c r="Q209" s="105" t="str">
        <f t="shared" si="109"/>
        <v/>
      </c>
      <c r="R209" s="104" t="str">
        <f t="shared" si="110"/>
        <v/>
      </c>
      <c r="S209" s="104" t="str">
        <f t="shared" si="111"/>
        <v/>
      </c>
      <c r="T209" s="105" t="str">
        <f t="shared" si="112"/>
        <v/>
      </c>
      <c r="U209" s="14" t="str">
        <f t="shared" si="113"/>
        <v/>
      </c>
      <c r="V209" s="14" t="str">
        <f t="shared" si="114"/>
        <v/>
      </c>
      <c r="W209" s="103" t="str">
        <f t="shared" si="115"/>
        <v/>
      </c>
      <c r="X209" s="103" t="str">
        <f t="shared" si="116"/>
        <v/>
      </c>
      <c r="Y209" s="100" t="str">
        <f t="shared" si="117"/>
        <v/>
      </c>
      <c r="Z209" s="100" t="str">
        <f t="shared" si="118"/>
        <v/>
      </c>
      <c r="AA209" s="100" t="e">
        <f t="shared" si="119"/>
        <v>#VALUE!</v>
      </c>
      <c r="AB209" s="100" t="e">
        <f t="shared" si="120"/>
        <v>#VALUE!</v>
      </c>
      <c r="AC209" s="100" t="e">
        <f t="shared" si="121"/>
        <v>#VALUE!</v>
      </c>
      <c r="AD209" s="100" t="e">
        <f t="shared" si="122"/>
        <v>#VALUE!</v>
      </c>
      <c r="AE209" s="8" t="str">
        <f t="shared" si="95"/>
        <v/>
      </c>
      <c r="AF209" s="8" t="str">
        <f t="shared" si="96"/>
        <v/>
      </c>
      <c r="AG209" s="7" t="str">
        <f t="shared" si="123"/>
        <v>Good</v>
      </c>
      <c r="AI209" s="100">
        <f t="shared" si="124"/>
        <v>28.966388297999998</v>
      </c>
      <c r="AJ209" s="100">
        <f t="shared" si="125"/>
        <v>47.806827075999998</v>
      </c>
    </row>
    <row r="210" spans="1:36" x14ac:dyDescent="0.2">
      <c r="A210" s="8">
        <v>16.425000000000001</v>
      </c>
      <c r="B210" s="100">
        <v>28.966422848000001</v>
      </c>
      <c r="C210" s="100">
        <v>47.806710654</v>
      </c>
      <c r="D210" s="101">
        <v>16425.163867255789</v>
      </c>
      <c r="E210" s="42" t="str">
        <f t="shared" si="97"/>
        <v/>
      </c>
      <c r="F210" s="7" t="str">
        <f t="shared" si="98"/>
        <v/>
      </c>
      <c r="G210" s="100" t="str">
        <f t="shared" si="99"/>
        <v/>
      </c>
      <c r="H210" s="100" t="str">
        <f t="shared" si="100"/>
        <v/>
      </c>
      <c r="I210" s="100" t="str">
        <f t="shared" si="101"/>
        <v/>
      </c>
      <c r="J210" s="100" t="str">
        <f t="shared" si="102"/>
        <v/>
      </c>
      <c r="K210" s="102" t="str">
        <f t="shared" si="103"/>
        <v/>
      </c>
      <c r="L210" s="103" t="str">
        <f t="shared" si="104"/>
        <v/>
      </c>
      <c r="M210" s="103" t="str">
        <f t="shared" si="105"/>
        <v/>
      </c>
      <c r="N210" s="103" t="str">
        <f t="shared" si="106"/>
        <v/>
      </c>
      <c r="O210" s="103" t="str">
        <f t="shared" si="107"/>
        <v/>
      </c>
      <c r="P210" s="105" t="str">
        <f t="shared" si="108"/>
        <v/>
      </c>
      <c r="Q210" s="105" t="str">
        <f t="shared" si="109"/>
        <v/>
      </c>
      <c r="R210" s="104" t="str">
        <f t="shared" si="110"/>
        <v/>
      </c>
      <c r="S210" s="104" t="str">
        <f t="shared" si="111"/>
        <v/>
      </c>
      <c r="T210" s="105" t="str">
        <f t="shared" si="112"/>
        <v/>
      </c>
      <c r="U210" s="14" t="str">
        <f t="shared" si="113"/>
        <v/>
      </c>
      <c r="V210" s="14" t="str">
        <f t="shared" si="114"/>
        <v/>
      </c>
      <c r="W210" s="103" t="str">
        <f t="shared" si="115"/>
        <v/>
      </c>
      <c r="X210" s="103" t="str">
        <f t="shared" si="116"/>
        <v/>
      </c>
      <c r="Y210" s="100" t="str">
        <f t="shared" si="117"/>
        <v/>
      </c>
      <c r="Z210" s="100" t="str">
        <f t="shared" si="118"/>
        <v/>
      </c>
      <c r="AA210" s="100" t="e">
        <f t="shared" si="119"/>
        <v>#VALUE!</v>
      </c>
      <c r="AB210" s="100" t="e">
        <f t="shared" si="120"/>
        <v>#VALUE!</v>
      </c>
      <c r="AC210" s="100" t="e">
        <f t="shared" si="121"/>
        <v>#VALUE!</v>
      </c>
      <c r="AD210" s="100" t="e">
        <f t="shared" si="122"/>
        <v>#VALUE!</v>
      </c>
      <c r="AE210" s="8" t="str">
        <f t="shared" si="95"/>
        <v/>
      </c>
      <c r="AF210" s="8" t="str">
        <f t="shared" si="96"/>
        <v/>
      </c>
      <c r="AG210" s="7" t="str">
        <f t="shared" si="123"/>
        <v>Good</v>
      </c>
      <c r="AI210" s="100">
        <f t="shared" si="124"/>
        <v>28.966422848000001</v>
      </c>
      <c r="AJ210" s="100">
        <f t="shared" si="125"/>
        <v>47.806710654</v>
      </c>
    </row>
    <row r="211" spans="1:36" x14ac:dyDescent="0.2">
      <c r="A211" s="8">
        <v>16.681000000000001</v>
      </c>
      <c r="B211" s="100">
        <v>28.967063179</v>
      </c>
      <c r="C211" s="100">
        <v>47.804186756999997</v>
      </c>
      <c r="D211" s="101">
        <v>16680.642473747965</v>
      </c>
      <c r="E211" s="42" t="str">
        <f t="shared" si="97"/>
        <v/>
      </c>
      <c r="F211" s="7" t="str">
        <f t="shared" si="98"/>
        <v/>
      </c>
      <c r="G211" s="100" t="str">
        <f t="shared" si="99"/>
        <v/>
      </c>
      <c r="H211" s="100" t="str">
        <f t="shared" si="100"/>
        <v/>
      </c>
      <c r="I211" s="100" t="str">
        <f t="shared" si="101"/>
        <v/>
      </c>
      <c r="J211" s="100" t="str">
        <f t="shared" si="102"/>
        <v/>
      </c>
      <c r="K211" s="102" t="str">
        <f t="shared" si="103"/>
        <v/>
      </c>
      <c r="L211" s="103" t="str">
        <f t="shared" si="104"/>
        <v/>
      </c>
      <c r="M211" s="103" t="str">
        <f t="shared" si="105"/>
        <v/>
      </c>
      <c r="N211" s="103" t="str">
        <f t="shared" si="106"/>
        <v/>
      </c>
      <c r="O211" s="103" t="str">
        <f t="shared" si="107"/>
        <v/>
      </c>
      <c r="P211" s="105" t="str">
        <f t="shared" si="108"/>
        <v/>
      </c>
      <c r="Q211" s="105" t="str">
        <f t="shared" si="109"/>
        <v/>
      </c>
      <c r="R211" s="104" t="str">
        <f t="shared" si="110"/>
        <v/>
      </c>
      <c r="S211" s="104" t="str">
        <f t="shared" si="111"/>
        <v/>
      </c>
      <c r="T211" s="105" t="str">
        <f t="shared" si="112"/>
        <v/>
      </c>
      <c r="U211" s="14" t="str">
        <f t="shared" si="113"/>
        <v/>
      </c>
      <c r="V211" s="14" t="str">
        <f t="shared" si="114"/>
        <v/>
      </c>
      <c r="W211" s="103" t="str">
        <f t="shared" si="115"/>
        <v/>
      </c>
      <c r="X211" s="103" t="str">
        <f t="shared" si="116"/>
        <v/>
      </c>
      <c r="Y211" s="100" t="str">
        <f t="shared" si="117"/>
        <v/>
      </c>
      <c r="Z211" s="100" t="str">
        <f t="shared" si="118"/>
        <v/>
      </c>
      <c r="AA211" s="100" t="e">
        <f t="shared" si="119"/>
        <v>#VALUE!</v>
      </c>
      <c r="AB211" s="100" t="e">
        <f t="shared" si="120"/>
        <v>#VALUE!</v>
      </c>
      <c r="AC211" s="100" t="e">
        <f t="shared" si="121"/>
        <v>#VALUE!</v>
      </c>
      <c r="AD211" s="100" t="e">
        <f t="shared" si="122"/>
        <v>#VALUE!</v>
      </c>
      <c r="AE211" s="8" t="str">
        <f t="shared" si="95"/>
        <v/>
      </c>
      <c r="AF211" s="8" t="str">
        <f t="shared" si="96"/>
        <v/>
      </c>
      <c r="AG211" s="7" t="str">
        <f t="shared" si="123"/>
        <v>Good</v>
      </c>
      <c r="AI211" s="100">
        <f t="shared" si="124"/>
        <v>28.967063179</v>
      </c>
      <c r="AJ211" s="100">
        <f t="shared" si="125"/>
        <v>47.804186756999997</v>
      </c>
    </row>
    <row r="212" spans="1:36" x14ac:dyDescent="0.2">
      <c r="A212" s="8">
        <v>16.837</v>
      </c>
      <c r="B212" s="100">
        <v>28.967479161</v>
      </c>
      <c r="C212" s="100">
        <v>47.802646711000001</v>
      </c>
      <c r="D212" s="101">
        <v>16837.336132696702</v>
      </c>
      <c r="E212" s="42" t="str">
        <f t="shared" si="97"/>
        <v/>
      </c>
      <c r="F212" s="7" t="str">
        <f t="shared" si="98"/>
        <v/>
      </c>
      <c r="G212" s="100" t="str">
        <f t="shared" si="99"/>
        <v/>
      </c>
      <c r="H212" s="100" t="str">
        <f t="shared" si="100"/>
        <v/>
      </c>
      <c r="I212" s="100" t="str">
        <f t="shared" si="101"/>
        <v/>
      </c>
      <c r="J212" s="100" t="str">
        <f t="shared" si="102"/>
        <v/>
      </c>
      <c r="K212" s="102" t="str">
        <f t="shared" si="103"/>
        <v/>
      </c>
      <c r="L212" s="103" t="str">
        <f t="shared" si="104"/>
        <v/>
      </c>
      <c r="M212" s="103" t="str">
        <f t="shared" si="105"/>
        <v/>
      </c>
      <c r="N212" s="103" t="str">
        <f t="shared" si="106"/>
        <v/>
      </c>
      <c r="O212" s="103" t="str">
        <f t="shared" si="107"/>
        <v/>
      </c>
      <c r="P212" s="105" t="str">
        <f t="shared" si="108"/>
        <v/>
      </c>
      <c r="Q212" s="105" t="str">
        <f t="shared" si="109"/>
        <v/>
      </c>
      <c r="R212" s="104" t="str">
        <f t="shared" si="110"/>
        <v/>
      </c>
      <c r="S212" s="104" t="str">
        <f t="shared" si="111"/>
        <v/>
      </c>
      <c r="T212" s="105" t="str">
        <f t="shared" si="112"/>
        <v/>
      </c>
      <c r="U212" s="14" t="str">
        <f t="shared" si="113"/>
        <v/>
      </c>
      <c r="V212" s="14" t="str">
        <f t="shared" si="114"/>
        <v/>
      </c>
      <c r="W212" s="103" t="str">
        <f t="shared" si="115"/>
        <v/>
      </c>
      <c r="X212" s="103" t="str">
        <f t="shared" si="116"/>
        <v/>
      </c>
      <c r="Y212" s="100" t="str">
        <f t="shared" si="117"/>
        <v/>
      </c>
      <c r="Z212" s="100" t="str">
        <f t="shared" si="118"/>
        <v/>
      </c>
      <c r="AA212" s="100" t="e">
        <f t="shared" si="119"/>
        <v>#VALUE!</v>
      </c>
      <c r="AB212" s="100" t="e">
        <f t="shared" si="120"/>
        <v>#VALUE!</v>
      </c>
      <c r="AC212" s="100" t="e">
        <f t="shared" si="121"/>
        <v>#VALUE!</v>
      </c>
      <c r="AD212" s="100" t="e">
        <f t="shared" si="122"/>
        <v>#VALUE!</v>
      </c>
      <c r="AE212" s="8" t="str">
        <f t="shared" si="95"/>
        <v/>
      </c>
      <c r="AF212" s="8" t="str">
        <f t="shared" si="96"/>
        <v/>
      </c>
      <c r="AG212" s="7" t="str">
        <f t="shared" si="123"/>
        <v>Good</v>
      </c>
      <c r="AI212" s="100">
        <f t="shared" si="124"/>
        <v>28.967479161</v>
      </c>
      <c r="AJ212" s="100">
        <f t="shared" si="125"/>
        <v>47.802646711000001</v>
      </c>
    </row>
    <row r="213" spans="1:36" x14ac:dyDescent="0.2">
      <c r="A213" s="8">
        <v>17.103000000000002</v>
      </c>
      <c r="D213" s="101">
        <v>17103</v>
      </c>
      <c r="E213" s="42">
        <f t="shared" si="97"/>
        <v>265.66386730329759</v>
      </c>
      <c r="F213" s="7">
        <f t="shared" si="98"/>
        <v>1</v>
      </c>
      <c r="G213" s="100">
        <f t="shared" si="99"/>
        <v>28.967479161</v>
      </c>
      <c r="H213" s="100">
        <f t="shared" si="100"/>
        <v>47.802646711000001</v>
      </c>
      <c r="I213" s="100">
        <f t="shared" si="101"/>
        <v>28.968155517</v>
      </c>
      <c r="J213" s="100">
        <f t="shared" si="102"/>
        <v>47.800014634</v>
      </c>
      <c r="K213" s="102">
        <f t="shared" si="103"/>
        <v>38</v>
      </c>
      <c r="L213" s="103">
        <f t="shared" si="104"/>
        <v>3207619.4195123678</v>
      </c>
      <c r="M213" s="103">
        <f t="shared" si="105"/>
        <v>773121.23791438085</v>
      </c>
      <c r="N213" s="103">
        <f t="shared" si="106"/>
        <v>3207688.3202519813</v>
      </c>
      <c r="O213" s="103">
        <f t="shared" si="107"/>
        <v>772862.85354086664</v>
      </c>
      <c r="P213" s="105">
        <f t="shared" si="108"/>
        <v>68.900739613454789</v>
      </c>
      <c r="Q213" s="105">
        <f t="shared" si="109"/>
        <v>-258.38437351421453</v>
      </c>
      <c r="R213" s="104">
        <f t="shared" si="110"/>
        <v>267.41315673619016</v>
      </c>
      <c r="S213" s="104" t="str">
        <f t="shared" si="111"/>
        <v>NW</v>
      </c>
      <c r="T213" s="105">
        <f t="shared" si="112"/>
        <v>0.26059603243362384</v>
      </c>
      <c r="U213" s="14">
        <f t="shared" si="113"/>
        <v>-256.6941460784011</v>
      </c>
      <c r="V213" s="14">
        <f t="shared" si="114"/>
        <v>68.4500238102559</v>
      </c>
      <c r="W213" s="103">
        <f t="shared" si="115"/>
        <v>3207687.8695361782</v>
      </c>
      <c r="X213" s="103">
        <f t="shared" si="116"/>
        <v>772864.54376830242</v>
      </c>
      <c r="Y213" s="100">
        <f t="shared" si="117"/>
        <v>28.968151067754448</v>
      </c>
      <c r="Z213" s="100">
        <f t="shared" si="118"/>
        <v>47.800031852901824</v>
      </c>
      <c r="AA213" s="100">
        <f t="shared" si="119"/>
        <v>-6.7190675444805947E-4</v>
      </c>
      <c r="AB213" s="100">
        <f t="shared" si="120"/>
        <v>-4.4492455515410256E-6</v>
      </c>
      <c r="AC213" s="100">
        <f t="shared" si="121"/>
        <v>2.6148580981768532E-3</v>
      </c>
      <c r="AD213" s="100">
        <f t="shared" si="122"/>
        <v>1.7218901824378463E-5</v>
      </c>
      <c r="AE213" s="8" t="str">
        <f t="shared" si="95"/>
        <v>Good</v>
      </c>
      <c r="AF213" s="8" t="str">
        <f t="shared" si="96"/>
        <v>Good</v>
      </c>
      <c r="AG213" s="7" t="str">
        <f t="shared" si="123"/>
        <v>Good</v>
      </c>
      <c r="AI213" s="100">
        <f t="shared" si="124"/>
        <v>28.968151067754448</v>
      </c>
      <c r="AJ213" s="100">
        <f t="shared" si="125"/>
        <v>47.800031852901824</v>
      </c>
    </row>
    <row r="214" spans="1:36" x14ac:dyDescent="0.2">
      <c r="A214" s="8">
        <v>17.103999999999999</v>
      </c>
      <c r="B214" s="100">
        <v>28.968155517</v>
      </c>
      <c r="C214" s="100">
        <v>47.800014634</v>
      </c>
      <c r="D214" s="101">
        <v>17104.029644693994</v>
      </c>
      <c r="E214" s="42" t="str">
        <f t="shared" si="97"/>
        <v/>
      </c>
      <c r="F214" s="7" t="str">
        <f t="shared" si="98"/>
        <v/>
      </c>
      <c r="G214" s="100" t="str">
        <f t="shared" si="99"/>
        <v/>
      </c>
      <c r="H214" s="100" t="str">
        <f t="shared" si="100"/>
        <v/>
      </c>
      <c r="I214" s="100" t="str">
        <f t="shared" si="101"/>
        <v/>
      </c>
      <c r="J214" s="100" t="str">
        <f t="shared" si="102"/>
        <v/>
      </c>
      <c r="K214" s="102" t="str">
        <f t="shared" si="103"/>
        <v/>
      </c>
      <c r="L214" s="103" t="str">
        <f t="shared" si="104"/>
        <v/>
      </c>
      <c r="M214" s="103" t="str">
        <f t="shared" si="105"/>
        <v/>
      </c>
      <c r="N214" s="103" t="str">
        <f t="shared" si="106"/>
        <v/>
      </c>
      <c r="O214" s="103" t="str">
        <f t="shared" si="107"/>
        <v/>
      </c>
      <c r="P214" s="105" t="str">
        <f t="shared" si="108"/>
        <v/>
      </c>
      <c r="Q214" s="105" t="str">
        <f t="shared" si="109"/>
        <v/>
      </c>
      <c r="R214" s="104" t="str">
        <f t="shared" si="110"/>
        <v/>
      </c>
      <c r="S214" s="104" t="str">
        <f t="shared" si="111"/>
        <v/>
      </c>
      <c r="T214" s="105" t="str">
        <f t="shared" si="112"/>
        <v/>
      </c>
      <c r="U214" s="14" t="str">
        <f t="shared" si="113"/>
        <v/>
      </c>
      <c r="V214" s="14" t="str">
        <f t="shared" si="114"/>
        <v/>
      </c>
      <c r="W214" s="103" t="str">
        <f t="shared" si="115"/>
        <v/>
      </c>
      <c r="X214" s="103" t="str">
        <f t="shared" si="116"/>
        <v/>
      </c>
      <c r="Y214" s="100" t="str">
        <f t="shared" si="117"/>
        <v/>
      </c>
      <c r="Z214" s="100" t="str">
        <f t="shared" si="118"/>
        <v/>
      </c>
      <c r="AA214" s="100" t="e">
        <f t="shared" si="119"/>
        <v>#VALUE!</v>
      </c>
      <c r="AB214" s="100" t="e">
        <f t="shared" si="120"/>
        <v>#VALUE!</v>
      </c>
      <c r="AC214" s="100" t="e">
        <f t="shared" si="121"/>
        <v>#VALUE!</v>
      </c>
      <c r="AD214" s="100" t="e">
        <f t="shared" si="122"/>
        <v>#VALUE!</v>
      </c>
      <c r="AE214" s="8" t="str">
        <f t="shared" si="95"/>
        <v/>
      </c>
      <c r="AF214" s="8" t="str">
        <f t="shared" si="96"/>
        <v/>
      </c>
      <c r="AG214" s="7" t="str">
        <f t="shared" si="123"/>
        <v>Good</v>
      </c>
      <c r="AI214" s="100">
        <f t="shared" si="124"/>
        <v>28.968155517</v>
      </c>
      <c r="AJ214" s="100">
        <f t="shared" si="125"/>
        <v>47.800014634</v>
      </c>
    </row>
    <row r="215" spans="1:36" x14ac:dyDescent="0.2">
      <c r="A215" s="8">
        <v>17.11</v>
      </c>
      <c r="B215" s="100">
        <v>28.968180687</v>
      </c>
      <c r="C215" s="100">
        <v>47.799966255000001</v>
      </c>
      <c r="D215" s="101">
        <v>17109.501824205574</v>
      </c>
      <c r="E215" s="42" t="str">
        <f t="shared" si="97"/>
        <v/>
      </c>
      <c r="F215" s="7" t="str">
        <f t="shared" si="98"/>
        <v/>
      </c>
      <c r="G215" s="100" t="str">
        <f t="shared" si="99"/>
        <v/>
      </c>
      <c r="H215" s="100" t="str">
        <f t="shared" si="100"/>
        <v/>
      </c>
      <c r="I215" s="100" t="str">
        <f t="shared" si="101"/>
        <v/>
      </c>
      <c r="J215" s="100" t="str">
        <f t="shared" si="102"/>
        <v/>
      </c>
      <c r="K215" s="102" t="str">
        <f t="shared" si="103"/>
        <v/>
      </c>
      <c r="L215" s="103" t="str">
        <f t="shared" si="104"/>
        <v/>
      </c>
      <c r="M215" s="103" t="str">
        <f t="shared" si="105"/>
        <v/>
      </c>
      <c r="N215" s="103" t="str">
        <f t="shared" si="106"/>
        <v/>
      </c>
      <c r="O215" s="103" t="str">
        <f t="shared" si="107"/>
        <v/>
      </c>
      <c r="P215" s="105" t="str">
        <f t="shared" si="108"/>
        <v/>
      </c>
      <c r="Q215" s="105" t="str">
        <f t="shared" si="109"/>
        <v/>
      </c>
      <c r="R215" s="104" t="str">
        <f t="shared" si="110"/>
        <v/>
      </c>
      <c r="S215" s="104" t="str">
        <f t="shared" si="111"/>
        <v/>
      </c>
      <c r="T215" s="105" t="str">
        <f t="shared" si="112"/>
        <v/>
      </c>
      <c r="U215" s="14" t="str">
        <f t="shared" si="113"/>
        <v/>
      </c>
      <c r="V215" s="14" t="str">
        <f t="shared" si="114"/>
        <v/>
      </c>
      <c r="W215" s="103" t="str">
        <f t="shared" si="115"/>
        <v/>
      </c>
      <c r="X215" s="103" t="str">
        <f t="shared" si="116"/>
        <v/>
      </c>
      <c r="Y215" s="100" t="str">
        <f t="shared" si="117"/>
        <v/>
      </c>
      <c r="Z215" s="100" t="str">
        <f t="shared" si="118"/>
        <v/>
      </c>
      <c r="AA215" s="100" t="e">
        <f t="shared" si="119"/>
        <v>#VALUE!</v>
      </c>
      <c r="AB215" s="100" t="e">
        <f t="shared" si="120"/>
        <v>#VALUE!</v>
      </c>
      <c r="AC215" s="100" t="e">
        <f t="shared" si="121"/>
        <v>#VALUE!</v>
      </c>
      <c r="AD215" s="100" t="e">
        <f t="shared" si="122"/>
        <v>#VALUE!</v>
      </c>
      <c r="AE215" s="8" t="str">
        <f t="shared" si="95"/>
        <v/>
      </c>
      <c r="AF215" s="8" t="str">
        <f t="shared" si="96"/>
        <v/>
      </c>
      <c r="AG215" s="7" t="str">
        <f t="shared" si="123"/>
        <v>Good</v>
      </c>
      <c r="AI215" s="100">
        <f t="shared" si="124"/>
        <v>28.968180687</v>
      </c>
      <c r="AJ215" s="100">
        <f t="shared" si="125"/>
        <v>47.799966255000001</v>
      </c>
    </row>
    <row r="216" spans="1:36" x14ac:dyDescent="0.2">
      <c r="A216" s="8">
        <v>17.472000000000001</v>
      </c>
      <c r="B216" s="100">
        <v>28.969095677999999</v>
      </c>
      <c r="C216" s="100">
        <v>47.796382884000003</v>
      </c>
      <c r="D216" s="101">
        <v>17472.400349021507</v>
      </c>
      <c r="E216" s="42" t="str">
        <f t="shared" si="97"/>
        <v/>
      </c>
      <c r="F216" s="7" t="str">
        <f t="shared" si="98"/>
        <v/>
      </c>
      <c r="G216" s="100" t="str">
        <f t="shared" si="99"/>
        <v/>
      </c>
      <c r="H216" s="100" t="str">
        <f t="shared" si="100"/>
        <v/>
      </c>
      <c r="I216" s="100" t="str">
        <f t="shared" si="101"/>
        <v/>
      </c>
      <c r="J216" s="100" t="str">
        <f t="shared" si="102"/>
        <v/>
      </c>
      <c r="K216" s="102" t="str">
        <f t="shared" si="103"/>
        <v/>
      </c>
      <c r="L216" s="103" t="str">
        <f t="shared" si="104"/>
        <v/>
      </c>
      <c r="M216" s="103" t="str">
        <f t="shared" si="105"/>
        <v/>
      </c>
      <c r="N216" s="103" t="str">
        <f t="shared" si="106"/>
        <v/>
      </c>
      <c r="O216" s="103" t="str">
        <f t="shared" si="107"/>
        <v/>
      </c>
      <c r="P216" s="105" t="str">
        <f t="shared" si="108"/>
        <v/>
      </c>
      <c r="Q216" s="105" t="str">
        <f t="shared" si="109"/>
        <v/>
      </c>
      <c r="R216" s="104" t="str">
        <f t="shared" si="110"/>
        <v/>
      </c>
      <c r="S216" s="104" t="str">
        <f t="shared" si="111"/>
        <v/>
      </c>
      <c r="T216" s="105" t="str">
        <f t="shared" si="112"/>
        <v/>
      </c>
      <c r="U216" s="14" t="str">
        <f t="shared" si="113"/>
        <v/>
      </c>
      <c r="V216" s="14" t="str">
        <f t="shared" si="114"/>
        <v/>
      </c>
      <c r="W216" s="103" t="str">
        <f t="shared" si="115"/>
        <v/>
      </c>
      <c r="X216" s="103" t="str">
        <f t="shared" si="116"/>
        <v/>
      </c>
      <c r="Y216" s="100" t="str">
        <f t="shared" si="117"/>
        <v/>
      </c>
      <c r="Z216" s="100" t="str">
        <f t="shared" si="118"/>
        <v/>
      </c>
      <c r="AA216" s="100" t="e">
        <f t="shared" si="119"/>
        <v>#VALUE!</v>
      </c>
      <c r="AB216" s="100" t="e">
        <f t="shared" si="120"/>
        <v>#VALUE!</v>
      </c>
      <c r="AC216" s="100" t="e">
        <f t="shared" si="121"/>
        <v>#VALUE!</v>
      </c>
      <c r="AD216" s="100" t="e">
        <f t="shared" si="122"/>
        <v>#VALUE!</v>
      </c>
      <c r="AE216" s="8" t="str">
        <f t="shared" si="95"/>
        <v/>
      </c>
      <c r="AF216" s="8" t="str">
        <f t="shared" si="96"/>
        <v/>
      </c>
      <c r="AG216" s="7" t="str">
        <f t="shared" si="123"/>
        <v>Good</v>
      </c>
      <c r="AI216" s="100">
        <f t="shared" si="124"/>
        <v>28.969095677999999</v>
      </c>
      <c r="AJ216" s="100">
        <f t="shared" si="125"/>
        <v>47.796382884000003</v>
      </c>
    </row>
    <row r="217" spans="1:36" x14ac:dyDescent="0.2">
      <c r="A217" s="8">
        <v>18.09</v>
      </c>
      <c r="D217" s="101">
        <v>18090</v>
      </c>
      <c r="E217" s="42">
        <f t="shared" si="97"/>
        <v>617.59965097849272</v>
      </c>
      <c r="F217" s="7">
        <f t="shared" si="98"/>
        <v>1</v>
      </c>
      <c r="G217" s="100">
        <f t="shared" si="99"/>
        <v>28.969095677999999</v>
      </c>
      <c r="H217" s="100">
        <f t="shared" si="100"/>
        <v>47.796382884000003</v>
      </c>
      <c r="I217" s="100">
        <f t="shared" si="101"/>
        <v>28.970683134000002</v>
      </c>
      <c r="J217" s="100">
        <f t="shared" si="102"/>
        <v>47.790284475999997</v>
      </c>
      <c r="K217" s="102">
        <f t="shared" si="103"/>
        <v>38</v>
      </c>
      <c r="L217" s="103">
        <f t="shared" si="104"/>
        <v>3207784.1663062447</v>
      </c>
      <c r="M217" s="103">
        <f t="shared" si="105"/>
        <v>772506.32157116267</v>
      </c>
      <c r="N217" s="103">
        <f t="shared" si="106"/>
        <v>3207946.1035195501</v>
      </c>
      <c r="O217" s="103">
        <f t="shared" si="107"/>
        <v>771907.62841344893</v>
      </c>
      <c r="P217" s="105">
        <f t="shared" si="108"/>
        <v>161.93721330538392</v>
      </c>
      <c r="Q217" s="105">
        <f t="shared" si="109"/>
        <v>-598.69315771374386</v>
      </c>
      <c r="R217" s="104">
        <f t="shared" si="110"/>
        <v>620.20735092899952</v>
      </c>
      <c r="S217" s="104" t="str">
        <f t="shared" si="111"/>
        <v>NW</v>
      </c>
      <c r="T217" s="105">
        <f t="shared" si="112"/>
        <v>0.26416334969579552</v>
      </c>
      <c r="U217" s="14">
        <f t="shared" si="113"/>
        <v>-596.17591551176031</v>
      </c>
      <c r="V217" s="14">
        <f t="shared" si="114"/>
        <v>161.25633833270078</v>
      </c>
      <c r="W217" s="103">
        <f t="shared" si="115"/>
        <v>3207945.4226445775</v>
      </c>
      <c r="X217" s="103">
        <f t="shared" si="116"/>
        <v>771910.14565565088</v>
      </c>
      <c r="Y217" s="100">
        <f t="shared" si="117"/>
        <v>28.970676434792875</v>
      </c>
      <c r="Z217" s="100">
        <f t="shared" si="118"/>
        <v>47.790310118509318</v>
      </c>
      <c r="AA217" s="100">
        <f t="shared" si="119"/>
        <v>-1.5807567928760591E-3</v>
      </c>
      <c r="AB217" s="100">
        <f t="shared" si="120"/>
        <v>-6.6992071268145992E-6</v>
      </c>
      <c r="AC217" s="100">
        <f t="shared" si="121"/>
        <v>6.0727654906855832E-3</v>
      </c>
      <c r="AD217" s="100">
        <f t="shared" si="122"/>
        <v>2.5642509321244233E-5</v>
      </c>
      <c r="AE217" s="8" t="str">
        <f t="shared" si="95"/>
        <v>Good</v>
      </c>
      <c r="AF217" s="8" t="str">
        <f t="shared" si="96"/>
        <v>Good</v>
      </c>
      <c r="AG217" s="7" t="str">
        <f t="shared" si="123"/>
        <v>Good</v>
      </c>
      <c r="AI217" s="100">
        <f t="shared" si="124"/>
        <v>28.970676434792875</v>
      </c>
      <c r="AJ217" s="100">
        <f t="shared" si="125"/>
        <v>47.790310118509318</v>
      </c>
    </row>
    <row r="218" spans="1:36" x14ac:dyDescent="0.2">
      <c r="A218" s="8">
        <v>18.091000000000001</v>
      </c>
      <c r="B218" s="100">
        <v>28.970683134000002</v>
      </c>
      <c r="C218" s="100">
        <v>47.790284475999997</v>
      </c>
      <c r="D218" s="101">
        <v>18090.947908295464</v>
      </c>
      <c r="E218" s="42" t="str">
        <f t="shared" si="97"/>
        <v/>
      </c>
      <c r="F218" s="7" t="str">
        <f t="shared" si="98"/>
        <v/>
      </c>
      <c r="G218" s="100" t="str">
        <f t="shared" si="99"/>
        <v/>
      </c>
      <c r="H218" s="100" t="str">
        <f t="shared" si="100"/>
        <v/>
      </c>
      <c r="I218" s="100" t="str">
        <f t="shared" si="101"/>
        <v/>
      </c>
      <c r="J218" s="100" t="str">
        <f t="shared" si="102"/>
        <v/>
      </c>
      <c r="K218" s="102" t="str">
        <f t="shared" si="103"/>
        <v/>
      </c>
      <c r="L218" s="103" t="str">
        <f t="shared" si="104"/>
        <v/>
      </c>
      <c r="M218" s="103" t="str">
        <f t="shared" si="105"/>
        <v/>
      </c>
      <c r="N218" s="103" t="str">
        <f t="shared" si="106"/>
        <v/>
      </c>
      <c r="O218" s="103" t="str">
        <f t="shared" si="107"/>
        <v/>
      </c>
      <c r="P218" s="105" t="str">
        <f t="shared" si="108"/>
        <v/>
      </c>
      <c r="Q218" s="105" t="str">
        <f t="shared" si="109"/>
        <v/>
      </c>
      <c r="R218" s="104" t="str">
        <f t="shared" si="110"/>
        <v/>
      </c>
      <c r="S218" s="104" t="str">
        <f t="shared" si="111"/>
        <v/>
      </c>
      <c r="T218" s="105" t="str">
        <f t="shared" si="112"/>
        <v/>
      </c>
      <c r="U218" s="14" t="str">
        <f t="shared" si="113"/>
        <v/>
      </c>
      <c r="V218" s="14" t="str">
        <f t="shared" si="114"/>
        <v/>
      </c>
      <c r="W218" s="103" t="str">
        <f t="shared" si="115"/>
        <v/>
      </c>
      <c r="X218" s="103" t="str">
        <f t="shared" si="116"/>
        <v/>
      </c>
      <c r="Y218" s="100" t="str">
        <f t="shared" si="117"/>
        <v/>
      </c>
      <c r="Z218" s="100" t="str">
        <f t="shared" si="118"/>
        <v/>
      </c>
      <c r="AA218" s="100" t="e">
        <f t="shared" si="119"/>
        <v>#VALUE!</v>
      </c>
      <c r="AB218" s="100" t="e">
        <f t="shared" si="120"/>
        <v>#VALUE!</v>
      </c>
      <c r="AC218" s="100" t="e">
        <f t="shared" si="121"/>
        <v>#VALUE!</v>
      </c>
      <c r="AD218" s="100" t="e">
        <f t="shared" si="122"/>
        <v>#VALUE!</v>
      </c>
      <c r="AE218" s="8" t="str">
        <f t="shared" si="95"/>
        <v/>
      </c>
      <c r="AF218" s="8" t="str">
        <f t="shared" si="96"/>
        <v/>
      </c>
      <c r="AG218" s="7" t="str">
        <f t="shared" si="123"/>
        <v>Good</v>
      </c>
      <c r="AI218" s="100">
        <f t="shared" si="124"/>
        <v>28.970683134000002</v>
      </c>
      <c r="AJ218" s="100">
        <f t="shared" si="125"/>
        <v>47.790284475999997</v>
      </c>
    </row>
    <row r="219" spans="1:36" x14ac:dyDescent="0.2">
      <c r="A219" s="8">
        <v>18.663</v>
      </c>
      <c r="B219" s="100">
        <v>28.972147806999999</v>
      </c>
      <c r="C219" s="100">
        <v>47.784646504000001</v>
      </c>
      <c r="D219" s="101">
        <v>18662.69403639518</v>
      </c>
      <c r="E219" s="42" t="str">
        <f t="shared" si="97"/>
        <v/>
      </c>
      <c r="F219" s="7" t="str">
        <f t="shared" si="98"/>
        <v/>
      </c>
      <c r="G219" s="100" t="str">
        <f t="shared" si="99"/>
        <v/>
      </c>
      <c r="H219" s="100" t="str">
        <f t="shared" si="100"/>
        <v/>
      </c>
      <c r="I219" s="100" t="str">
        <f t="shared" si="101"/>
        <v/>
      </c>
      <c r="J219" s="100" t="str">
        <f t="shared" si="102"/>
        <v/>
      </c>
      <c r="K219" s="102" t="str">
        <f t="shared" si="103"/>
        <v/>
      </c>
      <c r="L219" s="103" t="str">
        <f t="shared" si="104"/>
        <v/>
      </c>
      <c r="M219" s="103" t="str">
        <f t="shared" si="105"/>
        <v/>
      </c>
      <c r="N219" s="103" t="str">
        <f t="shared" si="106"/>
        <v/>
      </c>
      <c r="O219" s="103" t="str">
        <f t="shared" si="107"/>
        <v/>
      </c>
      <c r="P219" s="105" t="str">
        <f t="shared" si="108"/>
        <v/>
      </c>
      <c r="Q219" s="105" t="str">
        <f t="shared" si="109"/>
        <v/>
      </c>
      <c r="R219" s="104" t="str">
        <f t="shared" si="110"/>
        <v/>
      </c>
      <c r="S219" s="104" t="str">
        <f t="shared" si="111"/>
        <v/>
      </c>
      <c r="T219" s="105" t="str">
        <f t="shared" si="112"/>
        <v/>
      </c>
      <c r="U219" s="14" t="str">
        <f t="shared" si="113"/>
        <v/>
      </c>
      <c r="V219" s="14" t="str">
        <f t="shared" si="114"/>
        <v/>
      </c>
      <c r="W219" s="103" t="str">
        <f t="shared" si="115"/>
        <v/>
      </c>
      <c r="X219" s="103" t="str">
        <f t="shared" si="116"/>
        <v/>
      </c>
      <c r="Y219" s="100" t="str">
        <f t="shared" si="117"/>
        <v/>
      </c>
      <c r="Z219" s="100" t="str">
        <f t="shared" si="118"/>
        <v/>
      </c>
      <c r="AA219" s="100" t="e">
        <f t="shared" si="119"/>
        <v>#VALUE!</v>
      </c>
      <c r="AB219" s="100" t="e">
        <f t="shared" si="120"/>
        <v>#VALUE!</v>
      </c>
      <c r="AC219" s="100" t="e">
        <f t="shared" si="121"/>
        <v>#VALUE!</v>
      </c>
      <c r="AD219" s="100" t="e">
        <f t="shared" si="122"/>
        <v>#VALUE!</v>
      </c>
      <c r="AE219" s="8" t="str">
        <f t="shared" si="95"/>
        <v/>
      </c>
      <c r="AF219" s="8" t="str">
        <f t="shared" si="96"/>
        <v/>
      </c>
      <c r="AG219" s="7" t="str">
        <f t="shared" si="123"/>
        <v>Good</v>
      </c>
      <c r="AI219" s="100">
        <f t="shared" si="124"/>
        <v>28.972147806999999</v>
      </c>
      <c r="AJ219" s="100">
        <f t="shared" si="125"/>
        <v>47.784646504000001</v>
      </c>
    </row>
    <row r="220" spans="1:36" x14ac:dyDescent="0.2">
      <c r="A220" s="8">
        <v>18.699000000000002</v>
      </c>
      <c r="B220" s="100">
        <v>28.972247311</v>
      </c>
      <c r="C220" s="100">
        <v>47.784287949000003</v>
      </c>
      <c r="D220" s="101">
        <v>18699.26226149686</v>
      </c>
      <c r="E220" s="42" t="str">
        <f t="shared" si="97"/>
        <v/>
      </c>
      <c r="F220" s="7" t="str">
        <f t="shared" si="98"/>
        <v/>
      </c>
      <c r="G220" s="100" t="str">
        <f t="shared" si="99"/>
        <v/>
      </c>
      <c r="H220" s="100" t="str">
        <f t="shared" si="100"/>
        <v/>
      </c>
      <c r="I220" s="100" t="str">
        <f t="shared" si="101"/>
        <v/>
      </c>
      <c r="J220" s="100" t="str">
        <f t="shared" si="102"/>
        <v/>
      </c>
      <c r="K220" s="102" t="str">
        <f t="shared" si="103"/>
        <v/>
      </c>
      <c r="L220" s="103" t="str">
        <f t="shared" si="104"/>
        <v/>
      </c>
      <c r="M220" s="103" t="str">
        <f t="shared" si="105"/>
        <v/>
      </c>
      <c r="N220" s="103" t="str">
        <f t="shared" si="106"/>
        <v/>
      </c>
      <c r="O220" s="103" t="str">
        <f t="shared" si="107"/>
        <v/>
      </c>
      <c r="P220" s="105" t="str">
        <f t="shared" si="108"/>
        <v/>
      </c>
      <c r="Q220" s="105" t="str">
        <f t="shared" si="109"/>
        <v/>
      </c>
      <c r="R220" s="104" t="str">
        <f t="shared" si="110"/>
        <v/>
      </c>
      <c r="S220" s="104" t="str">
        <f t="shared" si="111"/>
        <v/>
      </c>
      <c r="T220" s="105" t="str">
        <f t="shared" si="112"/>
        <v/>
      </c>
      <c r="U220" s="14" t="str">
        <f t="shared" si="113"/>
        <v/>
      </c>
      <c r="V220" s="14" t="str">
        <f t="shared" si="114"/>
        <v/>
      </c>
      <c r="W220" s="103" t="str">
        <f t="shared" si="115"/>
        <v/>
      </c>
      <c r="X220" s="103" t="str">
        <f t="shared" si="116"/>
        <v/>
      </c>
      <c r="Y220" s="100" t="str">
        <f t="shared" si="117"/>
        <v/>
      </c>
      <c r="Z220" s="100" t="str">
        <f t="shared" si="118"/>
        <v/>
      </c>
      <c r="AA220" s="100" t="e">
        <f t="shared" si="119"/>
        <v>#VALUE!</v>
      </c>
      <c r="AB220" s="100" t="e">
        <f t="shared" si="120"/>
        <v>#VALUE!</v>
      </c>
      <c r="AC220" s="100" t="e">
        <f t="shared" si="121"/>
        <v>#VALUE!</v>
      </c>
      <c r="AD220" s="100" t="e">
        <f t="shared" si="122"/>
        <v>#VALUE!</v>
      </c>
      <c r="AE220" s="8" t="str">
        <f t="shared" si="95"/>
        <v/>
      </c>
      <c r="AF220" s="8" t="str">
        <f t="shared" si="96"/>
        <v/>
      </c>
      <c r="AG220" s="7" t="str">
        <f t="shared" si="123"/>
        <v>Good</v>
      </c>
      <c r="AI220" s="100">
        <f t="shared" si="124"/>
        <v>28.972247311</v>
      </c>
      <c r="AJ220" s="100">
        <f t="shared" si="125"/>
        <v>47.784287949000003</v>
      </c>
    </row>
    <row r="221" spans="1:36" x14ac:dyDescent="0.2">
      <c r="A221" s="8">
        <v>18.716999999999999</v>
      </c>
      <c r="B221" s="100">
        <v>28.972295645999999</v>
      </c>
      <c r="C221" s="100">
        <v>47.784112841000002</v>
      </c>
      <c r="D221" s="101">
        <v>18717.112656635964</v>
      </c>
      <c r="E221" s="42" t="str">
        <f t="shared" si="97"/>
        <v/>
      </c>
      <c r="F221" s="7" t="str">
        <f t="shared" si="98"/>
        <v/>
      </c>
      <c r="G221" s="100" t="str">
        <f t="shared" si="99"/>
        <v/>
      </c>
      <c r="H221" s="100" t="str">
        <f t="shared" si="100"/>
        <v/>
      </c>
      <c r="I221" s="100" t="str">
        <f t="shared" si="101"/>
        <v/>
      </c>
      <c r="J221" s="100" t="str">
        <f t="shared" si="102"/>
        <v/>
      </c>
      <c r="K221" s="102" t="str">
        <f t="shared" si="103"/>
        <v/>
      </c>
      <c r="L221" s="103" t="str">
        <f t="shared" si="104"/>
        <v/>
      </c>
      <c r="M221" s="103" t="str">
        <f t="shared" si="105"/>
        <v/>
      </c>
      <c r="N221" s="103" t="str">
        <f t="shared" si="106"/>
        <v/>
      </c>
      <c r="O221" s="103" t="str">
        <f t="shared" si="107"/>
        <v/>
      </c>
      <c r="P221" s="105" t="str">
        <f t="shared" si="108"/>
        <v/>
      </c>
      <c r="Q221" s="105" t="str">
        <f t="shared" si="109"/>
        <v/>
      </c>
      <c r="R221" s="104" t="str">
        <f t="shared" si="110"/>
        <v/>
      </c>
      <c r="S221" s="104" t="str">
        <f t="shared" si="111"/>
        <v/>
      </c>
      <c r="T221" s="105" t="str">
        <f t="shared" si="112"/>
        <v/>
      </c>
      <c r="U221" s="14" t="str">
        <f t="shared" si="113"/>
        <v/>
      </c>
      <c r="V221" s="14" t="str">
        <f t="shared" si="114"/>
        <v/>
      </c>
      <c r="W221" s="103" t="str">
        <f t="shared" si="115"/>
        <v/>
      </c>
      <c r="X221" s="103" t="str">
        <f t="shared" si="116"/>
        <v/>
      </c>
      <c r="Y221" s="100" t="str">
        <f t="shared" si="117"/>
        <v/>
      </c>
      <c r="Z221" s="100" t="str">
        <f t="shared" si="118"/>
        <v/>
      </c>
      <c r="AA221" s="100" t="e">
        <f t="shared" si="119"/>
        <v>#VALUE!</v>
      </c>
      <c r="AB221" s="100" t="e">
        <f t="shared" si="120"/>
        <v>#VALUE!</v>
      </c>
      <c r="AC221" s="100" t="e">
        <f t="shared" si="121"/>
        <v>#VALUE!</v>
      </c>
      <c r="AD221" s="100" t="e">
        <f t="shared" si="122"/>
        <v>#VALUE!</v>
      </c>
      <c r="AE221" s="8" t="str">
        <f t="shared" si="95"/>
        <v/>
      </c>
      <c r="AF221" s="8" t="str">
        <f t="shared" si="96"/>
        <v/>
      </c>
      <c r="AG221" s="7" t="str">
        <f t="shared" si="123"/>
        <v>Good</v>
      </c>
      <c r="AI221" s="100">
        <f t="shared" si="124"/>
        <v>28.972295645999999</v>
      </c>
      <c r="AJ221" s="100">
        <f t="shared" si="125"/>
        <v>47.784112841000002</v>
      </c>
    </row>
    <row r="222" spans="1:36" x14ac:dyDescent="0.2">
      <c r="A222" s="8">
        <v>19.097000000000001</v>
      </c>
      <c r="D222" s="101">
        <v>19097</v>
      </c>
      <c r="E222" s="42">
        <f t="shared" si="97"/>
        <v>379.8873433640365</v>
      </c>
      <c r="F222" s="7">
        <f t="shared" si="98"/>
        <v>1</v>
      </c>
      <c r="G222" s="100">
        <f t="shared" si="99"/>
        <v>28.972295645999999</v>
      </c>
      <c r="H222" s="100">
        <f t="shared" si="100"/>
        <v>47.784112841000002</v>
      </c>
      <c r="I222" s="100">
        <f t="shared" si="101"/>
        <v>28.973271496999999</v>
      </c>
      <c r="J222" s="100">
        <f t="shared" si="102"/>
        <v>47.780361352</v>
      </c>
      <c r="K222" s="102">
        <f t="shared" si="103"/>
        <v>38</v>
      </c>
      <c r="L222" s="103">
        <f t="shared" si="104"/>
        <v>3208110.6801216272</v>
      </c>
      <c r="M222" s="103">
        <f t="shared" si="105"/>
        <v>771301.75076295296</v>
      </c>
      <c r="N222" s="103">
        <f t="shared" si="106"/>
        <v>3208210.2544940258</v>
      </c>
      <c r="O222" s="103">
        <f t="shared" si="107"/>
        <v>770933.48323749204</v>
      </c>
      <c r="P222" s="105">
        <f t="shared" si="108"/>
        <v>99.574372398667037</v>
      </c>
      <c r="Q222" s="105">
        <f t="shared" si="109"/>
        <v>-368.2675254609203</v>
      </c>
      <c r="R222" s="104">
        <f t="shared" si="110"/>
        <v>381.49184257032022</v>
      </c>
      <c r="S222" s="104" t="str">
        <f t="shared" si="111"/>
        <v>NW</v>
      </c>
      <c r="T222" s="105">
        <f t="shared" si="112"/>
        <v>0.26407154490305945</v>
      </c>
      <c r="U222" s="14">
        <f t="shared" si="113"/>
        <v>-366.71864580907504</v>
      </c>
      <c r="V222" s="14">
        <f t="shared" si="114"/>
        <v>99.155577070296644</v>
      </c>
      <c r="W222" s="103">
        <f t="shared" si="115"/>
        <v>3208209.8356986973</v>
      </c>
      <c r="X222" s="103">
        <f t="shared" si="116"/>
        <v>770935.03211714386</v>
      </c>
      <c r="Y222" s="100">
        <f t="shared" si="117"/>
        <v>28.973267367519192</v>
      </c>
      <c r="Z222" s="100">
        <f t="shared" si="118"/>
        <v>47.780377131280815</v>
      </c>
      <c r="AA222" s="100">
        <f t="shared" si="119"/>
        <v>-9.717215191926698E-4</v>
      </c>
      <c r="AB222" s="100">
        <f t="shared" si="120"/>
        <v>-4.1294808070801992E-6</v>
      </c>
      <c r="AC222" s="100">
        <f t="shared" si="121"/>
        <v>3.7357097191872413E-3</v>
      </c>
      <c r="AD222" s="100">
        <f t="shared" si="122"/>
        <v>1.5779280815308994E-5</v>
      </c>
      <c r="AE222" s="8" t="str">
        <f t="shared" si="95"/>
        <v>Good</v>
      </c>
      <c r="AF222" s="8" t="str">
        <f t="shared" si="96"/>
        <v>Good</v>
      </c>
      <c r="AG222" s="7" t="str">
        <f t="shared" si="123"/>
        <v>Good</v>
      </c>
      <c r="AI222" s="100">
        <f t="shared" si="124"/>
        <v>28.973267367519192</v>
      </c>
      <c r="AJ222" s="100">
        <f t="shared" si="125"/>
        <v>47.780377131280815</v>
      </c>
    </row>
    <row r="223" spans="1:36" x14ac:dyDescent="0.2">
      <c r="A223" s="8">
        <v>19.097999999999999</v>
      </c>
      <c r="B223" s="100">
        <v>28.973271496999999</v>
      </c>
      <c r="C223" s="100">
        <v>47.780361352</v>
      </c>
      <c r="D223" s="101">
        <v>19097.586067305227</v>
      </c>
      <c r="E223" s="42" t="str">
        <f t="shared" si="97"/>
        <v/>
      </c>
      <c r="F223" s="7" t="str">
        <f t="shared" si="98"/>
        <v/>
      </c>
      <c r="G223" s="100" t="str">
        <f t="shared" si="99"/>
        <v/>
      </c>
      <c r="H223" s="100" t="str">
        <f t="shared" si="100"/>
        <v/>
      </c>
      <c r="I223" s="100" t="str">
        <f t="shared" si="101"/>
        <v/>
      </c>
      <c r="J223" s="100" t="str">
        <f t="shared" si="102"/>
        <v/>
      </c>
      <c r="K223" s="102" t="str">
        <f t="shared" si="103"/>
        <v/>
      </c>
      <c r="L223" s="103" t="str">
        <f t="shared" si="104"/>
        <v/>
      </c>
      <c r="M223" s="103" t="str">
        <f t="shared" si="105"/>
        <v/>
      </c>
      <c r="N223" s="103" t="str">
        <f t="shared" si="106"/>
        <v/>
      </c>
      <c r="O223" s="103" t="str">
        <f t="shared" si="107"/>
        <v/>
      </c>
      <c r="P223" s="105" t="str">
        <f t="shared" si="108"/>
        <v/>
      </c>
      <c r="Q223" s="105" t="str">
        <f t="shared" si="109"/>
        <v/>
      </c>
      <c r="R223" s="104" t="str">
        <f t="shared" si="110"/>
        <v/>
      </c>
      <c r="S223" s="104" t="str">
        <f t="shared" si="111"/>
        <v/>
      </c>
      <c r="T223" s="105" t="str">
        <f t="shared" si="112"/>
        <v/>
      </c>
      <c r="U223" s="14" t="str">
        <f t="shared" si="113"/>
        <v/>
      </c>
      <c r="V223" s="14" t="str">
        <f t="shared" si="114"/>
        <v/>
      </c>
      <c r="W223" s="103" t="str">
        <f t="shared" si="115"/>
        <v/>
      </c>
      <c r="X223" s="103" t="str">
        <f t="shared" si="116"/>
        <v/>
      </c>
      <c r="Y223" s="100" t="str">
        <f t="shared" si="117"/>
        <v/>
      </c>
      <c r="Z223" s="100" t="str">
        <f t="shared" si="118"/>
        <v/>
      </c>
      <c r="AA223" s="100" t="e">
        <f t="shared" si="119"/>
        <v>#VALUE!</v>
      </c>
      <c r="AB223" s="100" t="e">
        <f t="shared" si="120"/>
        <v>#VALUE!</v>
      </c>
      <c r="AC223" s="100" t="e">
        <f t="shared" si="121"/>
        <v>#VALUE!</v>
      </c>
      <c r="AD223" s="100" t="e">
        <f t="shared" si="122"/>
        <v>#VALUE!</v>
      </c>
      <c r="AE223" s="8" t="str">
        <f t="shared" si="95"/>
        <v/>
      </c>
      <c r="AF223" s="8" t="str">
        <f t="shared" si="96"/>
        <v/>
      </c>
      <c r="AG223" s="7" t="str">
        <f t="shared" si="123"/>
        <v>Good</v>
      </c>
      <c r="AI223" s="100">
        <f t="shared" si="124"/>
        <v>28.973271496999999</v>
      </c>
      <c r="AJ223" s="100">
        <f t="shared" si="125"/>
        <v>47.780361352</v>
      </c>
    </row>
    <row r="224" spans="1:36" x14ac:dyDescent="0.2">
      <c r="A224" s="8">
        <v>19.503</v>
      </c>
      <c r="B224" s="100">
        <v>28.974287308000001</v>
      </c>
      <c r="C224" s="100">
        <v>47.776355092999999</v>
      </c>
      <c r="D224" s="101">
        <v>19503.070897048601</v>
      </c>
      <c r="E224" s="42" t="str">
        <f t="shared" si="97"/>
        <v/>
      </c>
      <c r="F224" s="7" t="str">
        <f t="shared" si="98"/>
        <v/>
      </c>
      <c r="G224" s="100" t="str">
        <f t="shared" si="99"/>
        <v/>
      </c>
      <c r="H224" s="100" t="str">
        <f t="shared" si="100"/>
        <v/>
      </c>
      <c r="I224" s="100" t="str">
        <f t="shared" si="101"/>
        <v/>
      </c>
      <c r="J224" s="100" t="str">
        <f t="shared" si="102"/>
        <v/>
      </c>
      <c r="K224" s="102" t="str">
        <f t="shared" si="103"/>
        <v/>
      </c>
      <c r="L224" s="103" t="str">
        <f t="shared" si="104"/>
        <v/>
      </c>
      <c r="M224" s="103" t="str">
        <f t="shared" si="105"/>
        <v/>
      </c>
      <c r="N224" s="103" t="str">
        <f t="shared" si="106"/>
        <v/>
      </c>
      <c r="O224" s="103" t="str">
        <f t="shared" si="107"/>
        <v/>
      </c>
      <c r="P224" s="105" t="str">
        <f t="shared" si="108"/>
        <v/>
      </c>
      <c r="Q224" s="105" t="str">
        <f t="shared" si="109"/>
        <v/>
      </c>
      <c r="R224" s="104" t="str">
        <f t="shared" si="110"/>
        <v/>
      </c>
      <c r="S224" s="104" t="str">
        <f t="shared" si="111"/>
        <v/>
      </c>
      <c r="T224" s="105" t="str">
        <f t="shared" si="112"/>
        <v/>
      </c>
      <c r="U224" s="14" t="str">
        <f t="shared" si="113"/>
        <v/>
      </c>
      <c r="V224" s="14" t="str">
        <f t="shared" si="114"/>
        <v/>
      </c>
      <c r="W224" s="103" t="str">
        <f t="shared" si="115"/>
        <v/>
      </c>
      <c r="X224" s="103" t="str">
        <f t="shared" si="116"/>
        <v/>
      </c>
      <c r="Y224" s="100" t="str">
        <f t="shared" si="117"/>
        <v/>
      </c>
      <c r="Z224" s="100" t="str">
        <f t="shared" si="118"/>
        <v/>
      </c>
      <c r="AA224" s="100" t="e">
        <f t="shared" si="119"/>
        <v>#VALUE!</v>
      </c>
      <c r="AB224" s="100" t="e">
        <f t="shared" si="120"/>
        <v>#VALUE!</v>
      </c>
      <c r="AC224" s="100" t="e">
        <f t="shared" si="121"/>
        <v>#VALUE!</v>
      </c>
      <c r="AD224" s="100" t="e">
        <f t="shared" si="122"/>
        <v>#VALUE!</v>
      </c>
      <c r="AE224" s="8" t="str">
        <f t="shared" si="95"/>
        <v/>
      </c>
      <c r="AF224" s="8" t="str">
        <f t="shared" si="96"/>
        <v/>
      </c>
      <c r="AG224" s="7" t="str">
        <f t="shared" si="123"/>
        <v>Good</v>
      </c>
      <c r="AI224" s="100">
        <f t="shared" si="124"/>
        <v>28.974287308000001</v>
      </c>
      <c r="AJ224" s="100">
        <f t="shared" si="125"/>
        <v>47.776355092999999</v>
      </c>
    </row>
    <row r="225" spans="1:36" x14ac:dyDescent="0.2">
      <c r="A225" s="8">
        <v>20.123999999999999</v>
      </c>
      <c r="D225" s="101">
        <v>20124</v>
      </c>
      <c r="E225" s="42">
        <f t="shared" si="97"/>
        <v>620.92910295139882</v>
      </c>
      <c r="F225" s="7">
        <f t="shared" si="98"/>
        <v>1</v>
      </c>
      <c r="G225" s="100">
        <f t="shared" si="99"/>
        <v>28.974287308000001</v>
      </c>
      <c r="H225" s="100">
        <f t="shared" si="100"/>
        <v>47.776355092999999</v>
      </c>
      <c r="I225" s="100">
        <f t="shared" si="101"/>
        <v>28.975902895000001</v>
      </c>
      <c r="J225" s="100">
        <f t="shared" si="102"/>
        <v>47.770232387</v>
      </c>
      <c r="K225" s="102">
        <f t="shared" si="103"/>
        <v>38</v>
      </c>
      <c r="L225" s="103">
        <f t="shared" si="104"/>
        <v>3208313.68666424</v>
      </c>
      <c r="M225" s="103">
        <f t="shared" si="105"/>
        <v>770540.28276537999</v>
      </c>
      <c r="N225" s="103">
        <f t="shared" si="106"/>
        <v>3208478.7849118714</v>
      </c>
      <c r="O225" s="103">
        <f t="shared" si="107"/>
        <v>769939.21225359454</v>
      </c>
      <c r="P225" s="105">
        <f t="shared" si="108"/>
        <v>165.09824763145298</v>
      </c>
      <c r="Q225" s="105">
        <f t="shared" si="109"/>
        <v>-601.07051178545225</v>
      </c>
      <c r="R225" s="104">
        <f t="shared" si="110"/>
        <v>623.33232830409338</v>
      </c>
      <c r="S225" s="104" t="str">
        <f t="shared" si="111"/>
        <v>NW</v>
      </c>
      <c r="T225" s="105">
        <f t="shared" si="112"/>
        <v>0.26806280574256153</v>
      </c>
      <c r="U225" s="14">
        <f t="shared" si="113"/>
        <v>-598.75311570780934</v>
      </c>
      <c r="V225" s="14">
        <f t="shared" si="114"/>
        <v>164.46171992965247</v>
      </c>
      <c r="W225" s="103">
        <f t="shared" si="115"/>
        <v>3208478.1483841697</v>
      </c>
      <c r="X225" s="103">
        <f t="shared" si="116"/>
        <v>769941.52964967221</v>
      </c>
      <c r="Y225" s="100">
        <f t="shared" si="117"/>
        <v>28.975896641098693</v>
      </c>
      <c r="Z225" s="100">
        <f t="shared" si="118"/>
        <v>47.770255994039026</v>
      </c>
      <c r="AA225" s="100">
        <f t="shared" si="119"/>
        <v>-1.6093330986919341E-3</v>
      </c>
      <c r="AB225" s="100">
        <f t="shared" si="120"/>
        <v>-6.2539013079287997E-6</v>
      </c>
      <c r="AC225" s="100">
        <f t="shared" si="121"/>
        <v>6.0990989609734925E-3</v>
      </c>
      <c r="AD225" s="100">
        <f t="shared" si="122"/>
        <v>2.3607039025819176E-5</v>
      </c>
      <c r="AE225" s="8" t="str">
        <f t="shared" si="95"/>
        <v>Good</v>
      </c>
      <c r="AF225" s="8" t="str">
        <f t="shared" si="96"/>
        <v>Good</v>
      </c>
      <c r="AG225" s="7" t="str">
        <f t="shared" si="123"/>
        <v>Good</v>
      </c>
      <c r="AI225" s="100">
        <f t="shared" si="124"/>
        <v>28.975896641098693</v>
      </c>
      <c r="AJ225" s="100">
        <f t="shared" si="125"/>
        <v>47.770255994039026</v>
      </c>
    </row>
    <row r="226" spans="1:36" x14ac:dyDescent="0.2">
      <c r="A226" s="8">
        <v>20.125</v>
      </c>
      <c r="B226" s="100">
        <v>28.975902895000001</v>
      </c>
      <c r="C226" s="100">
        <v>47.770232387</v>
      </c>
      <c r="D226" s="101">
        <v>20124.749639534301</v>
      </c>
      <c r="E226" s="42" t="str">
        <f t="shared" si="97"/>
        <v/>
      </c>
      <c r="F226" s="7" t="str">
        <f t="shared" si="98"/>
        <v/>
      </c>
      <c r="G226" s="100" t="str">
        <f t="shared" si="99"/>
        <v/>
      </c>
      <c r="H226" s="100" t="str">
        <f t="shared" si="100"/>
        <v/>
      </c>
      <c r="I226" s="100" t="str">
        <f t="shared" si="101"/>
        <v/>
      </c>
      <c r="J226" s="100" t="str">
        <f t="shared" si="102"/>
        <v/>
      </c>
      <c r="K226" s="102" t="str">
        <f t="shared" si="103"/>
        <v/>
      </c>
      <c r="L226" s="103" t="str">
        <f t="shared" si="104"/>
        <v/>
      </c>
      <c r="M226" s="103" t="str">
        <f t="shared" si="105"/>
        <v/>
      </c>
      <c r="N226" s="103" t="str">
        <f t="shared" si="106"/>
        <v/>
      </c>
      <c r="O226" s="103" t="str">
        <f t="shared" si="107"/>
        <v/>
      </c>
      <c r="P226" s="105" t="str">
        <f t="shared" si="108"/>
        <v/>
      </c>
      <c r="Q226" s="105" t="str">
        <f t="shared" si="109"/>
        <v/>
      </c>
      <c r="R226" s="104" t="str">
        <f t="shared" si="110"/>
        <v/>
      </c>
      <c r="S226" s="104" t="str">
        <f t="shared" si="111"/>
        <v/>
      </c>
      <c r="T226" s="105" t="str">
        <f t="shared" si="112"/>
        <v/>
      </c>
      <c r="U226" s="14" t="str">
        <f t="shared" si="113"/>
        <v/>
      </c>
      <c r="V226" s="14" t="str">
        <f t="shared" si="114"/>
        <v/>
      </c>
      <c r="W226" s="103" t="str">
        <f t="shared" si="115"/>
        <v/>
      </c>
      <c r="X226" s="103" t="str">
        <f t="shared" si="116"/>
        <v/>
      </c>
      <c r="Y226" s="100" t="str">
        <f t="shared" si="117"/>
        <v/>
      </c>
      <c r="Z226" s="100" t="str">
        <f t="shared" si="118"/>
        <v/>
      </c>
      <c r="AA226" s="100" t="e">
        <f t="shared" si="119"/>
        <v>#VALUE!</v>
      </c>
      <c r="AB226" s="100" t="e">
        <f t="shared" si="120"/>
        <v>#VALUE!</v>
      </c>
      <c r="AC226" s="100" t="e">
        <f t="shared" si="121"/>
        <v>#VALUE!</v>
      </c>
      <c r="AD226" s="100" t="e">
        <f t="shared" si="122"/>
        <v>#VALUE!</v>
      </c>
      <c r="AE226" s="8" t="str">
        <f t="shared" si="95"/>
        <v/>
      </c>
      <c r="AF226" s="8" t="str">
        <f t="shared" si="96"/>
        <v/>
      </c>
      <c r="AG226" s="7" t="str">
        <f t="shared" si="123"/>
        <v>Good</v>
      </c>
      <c r="AI226" s="100">
        <f t="shared" si="124"/>
        <v>28.975902895000001</v>
      </c>
      <c r="AJ226" s="100">
        <f t="shared" si="125"/>
        <v>47.770232387</v>
      </c>
    </row>
    <row r="227" spans="1:36" x14ac:dyDescent="0.2">
      <c r="A227" s="8">
        <v>20.957000000000001</v>
      </c>
      <c r="B227" s="100">
        <v>28.978029072999998</v>
      </c>
      <c r="C227" s="100">
        <v>47.762017966000002</v>
      </c>
      <c r="D227" s="101">
        <v>20957.485051610496</v>
      </c>
      <c r="E227" s="42" t="str">
        <f t="shared" si="97"/>
        <v/>
      </c>
      <c r="F227" s="7" t="str">
        <f t="shared" si="98"/>
        <v/>
      </c>
      <c r="G227" s="100" t="str">
        <f t="shared" si="99"/>
        <v/>
      </c>
      <c r="H227" s="100" t="str">
        <f t="shared" si="100"/>
        <v/>
      </c>
      <c r="I227" s="100" t="str">
        <f t="shared" si="101"/>
        <v/>
      </c>
      <c r="J227" s="100" t="str">
        <f t="shared" si="102"/>
        <v/>
      </c>
      <c r="K227" s="102" t="str">
        <f t="shared" si="103"/>
        <v/>
      </c>
      <c r="L227" s="103" t="str">
        <f t="shared" si="104"/>
        <v/>
      </c>
      <c r="M227" s="103" t="str">
        <f t="shared" si="105"/>
        <v/>
      </c>
      <c r="N227" s="103" t="str">
        <f t="shared" si="106"/>
        <v/>
      </c>
      <c r="O227" s="103" t="str">
        <f t="shared" si="107"/>
        <v/>
      </c>
      <c r="P227" s="105" t="str">
        <f t="shared" si="108"/>
        <v/>
      </c>
      <c r="Q227" s="105" t="str">
        <f t="shared" si="109"/>
        <v/>
      </c>
      <c r="R227" s="104" t="str">
        <f t="shared" si="110"/>
        <v/>
      </c>
      <c r="S227" s="104" t="str">
        <f t="shared" si="111"/>
        <v/>
      </c>
      <c r="T227" s="105" t="str">
        <f t="shared" si="112"/>
        <v/>
      </c>
      <c r="U227" s="14" t="str">
        <f t="shared" si="113"/>
        <v/>
      </c>
      <c r="V227" s="14" t="str">
        <f t="shared" si="114"/>
        <v/>
      </c>
      <c r="W227" s="103" t="str">
        <f t="shared" si="115"/>
        <v/>
      </c>
      <c r="X227" s="103" t="str">
        <f t="shared" si="116"/>
        <v/>
      </c>
      <c r="Y227" s="100" t="str">
        <f t="shared" si="117"/>
        <v/>
      </c>
      <c r="Z227" s="100" t="str">
        <f t="shared" si="118"/>
        <v/>
      </c>
      <c r="AA227" s="100" t="e">
        <f t="shared" si="119"/>
        <v>#VALUE!</v>
      </c>
      <c r="AB227" s="100" t="e">
        <f t="shared" si="120"/>
        <v>#VALUE!</v>
      </c>
      <c r="AC227" s="100" t="e">
        <f t="shared" si="121"/>
        <v>#VALUE!</v>
      </c>
      <c r="AD227" s="100" t="e">
        <f t="shared" si="122"/>
        <v>#VALUE!</v>
      </c>
      <c r="AE227" s="8" t="str">
        <f t="shared" si="95"/>
        <v/>
      </c>
      <c r="AF227" s="8" t="str">
        <f t="shared" si="96"/>
        <v/>
      </c>
      <c r="AG227" s="7" t="str">
        <f t="shared" si="123"/>
        <v>Good</v>
      </c>
      <c r="AI227" s="100">
        <f t="shared" si="124"/>
        <v>28.978029072999998</v>
      </c>
      <c r="AJ227" s="100">
        <f t="shared" si="125"/>
        <v>47.762017966000002</v>
      </c>
    </row>
    <row r="228" spans="1:36" x14ac:dyDescent="0.2">
      <c r="A228" s="8">
        <v>21.064</v>
      </c>
      <c r="D228" s="101">
        <v>21064</v>
      </c>
      <c r="E228" s="42">
        <f t="shared" si="97"/>
        <v>106.51494838950384</v>
      </c>
      <c r="F228" s="7">
        <f t="shared" si="98"/>
        <v>1</v>
      </c>
      <c r="G228" s="100">
        <f t="shared" si="99"/>
        <v>28.978029072999998</v>
      </c>
      <c r="H228" s="100">
        <f t="shared" si="100"/>
        <v>47.762017966000002</v>
      </c>
      <c r="I228" s="100">
        <f t="shared" si="101"/>
        <v>28.979828498</v>
      </c>
      <c r="J228" s="100">
        <f t="shared" si="102"/>
        <v>47.755030368</v>
      </c>
      <c r="K228" s="102">
        <f t="shared" si="103"/>
        <v>38</v>
      </c>
      <c r="L228" s="103">
        <f t="shared" si="104"/>
        <v>3208695.74968307</v>
      </c>
      <c r="M228" s="103">
        <f t="shared" si="105"/>
        <v>769132.93517213163</v>
      </c>
      <c r="N228" s="103">
        <f t="shared" si="106"/>
        <v>3208879.3325461736</v>
      </c>
      <c r="O228" s="103">
        <f t="shared" si="107"/>
        <v>768447.12719932932</v>
      </c>
      <c r="P228" s="105">
        <f t="shared" si="108"/>
        <v>183.58286310359836</v>
      </c>
      <c r="Q228" s="105">
        <f t="shared" si="109"/>
        <v>-685.80797280231491</v>
      </c>
      <c r="R228" s="104">
        <f t="shared" si="110"/>
        <v>709.95439514417774</v>
      </c>
      <c r="S228" s="104" t="str">
        <f t="shared" si="111"/>
        <v>NW</v>
      </c>
      <c r="T228" s="105">
        <f t="shared" si="112"/>
        <v>0.26155608215667403</v>
      </c>
      <c r="U228" s="14">
        <f t="shared" si="113"/>
        <v>-102.89224396352115</v>
      </c>
      <c r="V228" s="14">
        <f t="shared" si="114"/>
        <v>27.543063783281507</v>
      </c>
      <c r="W228" s="103">
        <f t="shared" si="115"/>
        <v>3208723.2927468531</v>
      </c>
      <c r="X228" s="103">
        <f t="shared" si="116"/>
        <v>769030.04292816808</v>
      </c>
      <c r="Y228" s="100">
        <f t="shared" si="117"/>
        <v>28.978299038374477</v>
      </c>
      <c r="Z228" s="100">
        <f t="shared" si="118"/>
        <v>47.760969629950623</v>
      </c>
      <c r="AA228" s="100">
        <f t="shared" si="119"/>
        <v>-2.6996537447843139E-4</v>
      </c>
      <c r="AB228" s="100">
        <f t="shared" si="120"/>
        <v>-1.5294596255230886E-3</v>
      </c>
      <c r="AC228" s="100">
        <f t="shared" si="121"/>
        <v>1.0483360493793725E-3</v>
      </c>
      <c r="AD228" s="100">
        <f t="shared" si="122"/>
        <v>5.9392619506226652E-3</v>
      </c>
      <c r="AE228" s="8" t="str">
        <f t="shared" si="95"/>
        <v>Good</v>
      </c>
      <c r="AF228" s="8" t="str">
        <f t="shared" si="96"/>
        <v>Good</v>
      </c>
      <c r="AG228" s="7" t="str">
        <f t="shared" si="123"/>
        <v>Good</v>
      </c>
      <c r="AI228" s="100">
        <f t="shared" si="124"/>
        <v>28.978299038374477</v>
      </c>
      <c r="AJ228" s="100">
        <f t="shared" si="125"/>
        <v>47.760969629950623</v>
      </c>
    </row>
    <row r="229" spans="1:36" x14ac:dyDescent="0.2">
      <c r="A229" s="8">
        <v>21.666</v>
      </c>
      <c r="B229" s="100">
        <v>28.979828498</v>
      </c>
      <c r="C229" s="100">
        <v>47.755030368</v>
      </c>
      <c r="D229" s="101">
        <v>21665.54951681686</v>
      </c>
      <c r="E229" s="42" t="str">
        <f t="shared" si="97"/>
        <v/>
      </c>
      <c r="F229" s="7" t="str">
        <f t="shared" si="98"/>
        <v/>
      </c>
      <c r="G229" s="100" t="str">
        <f t="shared" si="99"/>
        <v/>
      </c>
      <c r="H229" s="100" t="str">
        <f t="shared" si="100"/>
        <v/>
      </c>
      <c r="I229" s="100" t="str">
        <f t="shared" si="101"/>
        <v/>
      </c>
      <c r="J229" s="100" t="str">
        <f t="shared" si="102"/>
        <v/>
      </c>
      <c r="K229" s="102" t="str">
        <f t="shared" si="103"/>
        <v/>
      </c>
      <c r="L229" s="103" t="str">
        <f t="shared" si="104"/>
        <v/>
      </c>
      <c r="M229" s="103" t="str">
        <f t="shared" si="105"/>
        <v/>
      </c>
      <c r="N229" s="103" t="str">
        <f t="shared" si="106"/>
        <v/>
      </c>
      <c r="O229" s="103" t="str">
        <f t="shared" si="107"/>
        <v/>
      </c>
      <c r="P229" s="105" t="str">
        <f t="shared" si="108"/>
        <v/>
      </c>
      <c r="Q229" s="105" t="str">
        <f t="shared" si="109"/>
        <v/>
      </c>
      <c r="R229" s="104" t="str">
        <f t="shared" si="110"/>
        <v/>
      </c>
      <c r="S229" s="104" t="str">
        <f t="shared" si="111"/>
        <v/>
      </c>
      <c r="T229" s="105" t="str">
        <f t="shared" si="112"/>
        <v/>
      </c>
      <c r="U229" s="14" t="str">
        <f t="shared" si="113"/>
        <v/>
      </c>
      <c r="V229" s="14" t="str">
        <f t="shared" si="114"/>
        <v/>
      </c>
      <c r="W229" s="103" t="str">
        <f t="shared" si="115"/>
        <v/>
      </c>
      <c r="X229" s="103" t="str">
        <f t="shared" si="116"/>
        <v/>
      </c>
      <c r="Y229" s="100" t="str">
        <f t="shared" si="117"/>
        <v/>
      </c>
      <c r="Z229" s="100" t="str">
        <f t="shared" si="118"/>
        <v/>
      </c>
      <c r="AA229" s="100" t="e">
        <f t="shared" si="119"/>
        <v>#VALUE!</v>
      </c>
      <c r="AB229" s="100" t="e">
        <f t="shared" si="120"/>
        <v>#VALUE!</v>
      </c>
      <c r="AC229" s="100" t="e">
        <f t="shared" si="121"/>
        <v>#VALUE!</v>
      </c>
      <c r="AD229" s="100" t="e">
        <f t="shared" si="122"/>
        <v>#VALUE!</v>
      </c>
      <c r="AE229" s="8" t="str">
        <f t="shared" si="95"/>
        <v/>
      </c>
      <c r="AF229" s="8" t="str">
        <f t="shared" si="96"/>
        <v/>
      </c>
      <c r="AG229" s="7" t="str">
        <f t="shared" si="123"/>
        <v>Good</v>
      </c>
      <c r="AI229" s="100">
        <f t="shared" si="124"/>
        <v>28.979828498</v>
      </c>
      <c r="AJ229" s="100">
        <f t="shared" si="125"/>
        <v>47.755030368</v>
      </c>
    </row>
    <row r="230" spans="1:36" x14ac:dyDescent="0.2">
      <c r="A230" s="8">
        <v>21.975000000000001</v>
      </c>
      <c r="B230" s="100">
        <v>28.980638137</v>
      </c>
      <c r="C230" s="100">
        <v>47.751988545000003</v>
      </c>
      <c r="D230" s="101">
        <v>21974.617297451336</v>
      </c>
      <c r="E230" s="42" t="str">
        <f t="shared" si="97"/>
        <v/>
      </c>
      <c r="F230" s="7" t="str">
        <f t="shared" si="98"/>
        <v/>
      </c>
      <c r="G230" s="100" t="str">
        <f t="shared" si="99"/>
        <v/>
      </c>
      <c r="H230" s="100" t="str">
        <f t="shared" si="100"/>
        <v/>
      </c>
      <c r="I230" s="100" t="str">
        <f t="shared" si="101"/>
        <v/>
      </c>
      <c r="J230" s="100" t="str">
        <f t="shared" si="102"/>
        <v/>
      </c>
      <c r="K230" s="102" t="str">
        <f t="shared" si="103"/>
        <v/>
      </c>
      <c r="L230" s="103" t="str">
        <f t="shared" si="104"/>
        <v/>
      </c>
      <c r="M230" s="103" t="str">
        <f t="shared" si="105"/>
        <v/>
      </c>
      <c r="N230" s="103" t="str">
        <f t="shared" si="106"/>
        <v/>
      </c>
      <c r="O230" s="103" t="str">
        <f t="shared" si="107"/>
        <v/>
      </c>
      <c r="P230" s="105" t="str">
        <f t="shared" si="108"/>
        <v/>
      </c>
      <c r="Q230" s="105" t="str">
        <f t="shared" si="109"/>
        <v/>
      </c>
      <c r="R230" s="104" t="str">
        <f t="shared" si="110"/>
        <v/>
      </c>
      <c r="S230" s="104" t="str">
        <f t="shared" si="111"/>
        <v/>
      </c>
      <c r="T230" s="105" t="str">
        <f t="shared" si="112"/>
        <v/>
      </c>
      <c r="U230" s="14" t="str">
        <f t="shared" si="113"/>
        <v/>
      </c>
      <c r="V230" s="14" t="str">
        <f t="shared" si="114"/>
        <v/>
      </c>
      <c r="W230" s="103" t="str">
        <f t="shared" si="115"/>
        <v/>
      </c>
      <c r="X230" s="103" t="str">
        <f t="shared" si="116"/>
        <v/>
      </c>
      <c r="Y230" s="100" t="str">
        <f t="shared" si="117"/>
        <v/>
      </c>
      <c r="Z230" s="100" t="str">
        <f t="shared" si="118"/>
        <v/>
      </c>
      <c r="AA230" s="100" t="e">
        <f t="shared" si="119"/>
        <v>#VALUE!</v>
      </c>
      <c r="AB230" s="100" t="e">
        <f t="shared" si="120"/>
        <v>#VALUE!</v>
      </c>
      <c r="AC230" s="100" t="e">
        <f t="shared" si="121"/>
        <v>#VALUE!</v>
      </c>
      <c r="AD230" s="100" t="e">
        <f t="shared" si="122"/>
        <v>#VALUE!</v>
      </c>
      <c r="AE230" s="8" t="str">
        <f t="shared" si="95"/>
        <v/>
      </c>
      <c r="AF230" s="8" t="str">
        <f t="shared" si="96"/>
        <v/>
      </c>
      <c r="AG230" s="7" t="str">
        <f t="shared" si="123"/>
        <v>Good</v>
      </c>
      <c r="AI230" s="100">
        <f t="shared" si="124"/>
        <v>28.980638137</v>
      </c>
      <c r="AJ230" s="100">
        <f t="shared" si="125"/>
        <v>47.751988545000003</v>
      </c>
    </row>
    <row r="231" spans="1:36" x14ac:dyDescent="0.2">
      <c r="A231" s="8">
        <v>22.036999999999999</v>
      </c>
      <c r="D231" s="101">
        <v>22037</v>
      </c>
      <c r="E231" s="42">
        <f t="shared" si="97"/>
        <v>62.382702548664383</v>
      </c>
      <c r="F231" s="7">
        <f t="shared" si="98"/>
        <v>1</v>
      </c>
      <c r="G231" s="100">
        <f t="shared" si="99"/>
        <v>28.980638137</v>
      </c>
      <c r="H231" s="100">
        <f t="shared" si="100"/>
        <v>47.751988545000003</v>
      </c>
      <c r="I231" s="100">
        <f t="shared" si="101"/>
        <v>28.980801887999998</v>
      </c>
      <c r="J231" s="100">
        <f t="shared" si="102"/>
        <v>47.751368606</v>
      </c>
      <c r="K231" s="102">
        <f t="shared" si="103"/>
        <v>38</v>
      </c>
      <c r="L231" s="103">
        <f t="shared" si="104"/>
        <v>3208962.179198259</v>
      </c>
      <c r="M231" s="103">
        <f t="shared" si="105"/>
        <v>768148.5230795776</v>
      </c>
      <c r="N231" s="103">
        <f t="shared" si="106"/>
        <v>3208978.925266529</v>
      </c>
      <c r="O231" s="103">
        <f t="shared" si="107"/>
        <v>768087.66989867645</v>
      </c>
      <c r="P231" s="105">
        <f t="shared" si="108"/>
        <v>16.746068269945681</v>
      </c>
      <c r="Q231" s="105">
        <f t="shared" si="109"/>
        <v>-60.853180901147425</v>
      </c>
      <c r="R231" s="104">
        <f t="shared" si="110"/>
        <v>63.115294725521608</v>
      </c>
      <c r="S231" s="104" t="str">
        <f t="shared" si="111"/>
        <v>NW</v>
      </c>
      <c r="T231" s="105">
        <f t="shared" si="112"/>
        <v>0.26854103233159671</v>
      </c>
      <c r="U231" s="14">
        <f t="shared" si="113"/>
        <v>-60.146845543625425</v>
      </c>
      <c r="V231" s="14">
        <f t="shared" si="114"/>
        <v>16.551693219317603</v>
      </c>
      <c r="W231" s="103">
        <f t="shared" si="115"/>
        <v>3208978.7308914782</v>
      </c>
      <c r="X231" s="103">
        <f t="shared" si="116"/>
        <v>768088.37623403396</v>
      </c>
      <c r="Y231" s="100">
        <f t="shared" si="117"/>
        <v>28.9807999613611</v>
      </c>
      <c r="Z231" s="100">
        <f t="shared" si="118"/>
        <v>47.751375802551543</v>
      </c>
      <c r="AA231" s="100">
        <f t="shared" si="119"/>
        <v>-1.6182436110057097E-4</v>
      </c>
      <c r="AB231" s="100">
        <f t="shared" si="120"/>
        <v>-1.9266388981975524E-6</v>
      </c>
      <c r="AC231" s="100">
        <f t="shared" si="121"/>
        <v>6.1274244846032389E-4</v>
      </c>
      <c r="AD231" s="100">
        <f t="shared" si="122"/>
        <v>7.1965515431315907E-6</v>
      </c>
      <c r="AE231" s="8" t="str">
        <f t="shared" si="95"/>
        <v>Good</v>
      </c>
      <c r="AF231" s="8" t="str">
        <f t="shared" si="96"/>
        <v>Good</v>
      </c>
      <c r="AG231" s="7" t="str">
        <f t="shared" si="123"/>
        <v>Good</v>
      </c>
      <c r="AI231" s="100">
        <f t="shared" si="124"/>
        <v>28.9807999613611</v>
      </c>
      <c r="AJ231" s="100">
        <f t="shared" si="125"/>
        <v>47.751375802551543</v>
      </c>
    </row>
    <row r="232" spans="1:36" x14ac:dyDescent="0.2">
      <c r="A232" s="8">
        <v>22.038</v>
      </c>
      <c r="B232" s="100">
        <v>28.980801887999998</v>
      </c>
      <c r="C232" s="100">
        <v>47.751368606</v>
      </c>
      <c r="D232" s="101">
        <v>22037.566113096138</v>
      </c>
      <c r="E232" s="42" t="str">
        <f t="shared" si="97"/>
        <v/>
      </c>
      <c r="F232" s="7" t="str">
        <f t="shared" si="98"/>
        <v/>
      </c>
      <c r="G232" s="100" t="str">
        <f t="shared" si="99"/>
        <v/>
      </c>
      <c r="H232" s="100" t="str">
        <f t="shared" si="100"/>
        <v/>
      </c>
      <c r="I232" s="100" t="str">
        <f t="shared" si="101"/>
        <v/>
      </c>
      <c r="J232" s="100" t="str">
        <f t="shared" si="102"/>
        <v/>
      </c>
      <c r="K232" s="102" t="str">
        <f t="shared" si="103"/>
        <v/>
      </c>
      <c r="L232" s="103" t="str">
        <f t="shared" si="104"/>
        <v/>
      </c>
      <c r="M232" s="103" t="str">
        <f t="shared" si="105"/>
        <v/>
      </c>
      <c r="N232" s="103" t="str">
        <f t="shared" si="106"/>
        <v/>
      </c>
      <c r="O232" s="103" t="str">
        <f t="shared" si="107"/>
        <v/>
      </c>
      <c r="P232" s="105" t="str">
        <f t="shared" si="108"/>
        <v/>
      </c>
      <c r="Q232" s="105" t="str">
        <f t="shared" si="109"/>
        <v/>
      </c>
      <c r="R232" s="104" t="str">
        <f t="shared" si="110"/>
        <v/>
      </c>
      <c r="S232" s="104" t="str">
        <f t="shared" si="111"/>
        <v/>
      </c>
      <c r="T232" s="105" t="str">
        <f t="shared" si="112"/>
        <v/>
      </c>
      <c r="U232" s="14" t="str">
        <f t="shared" si="113"/>
        <v/>
      </c>
      <c r="V232" s="14" t="str">
        <f t="shared" si="114"/>
        <v/>
      </c>
      <c r="W232" s="103" t="str">
        <f t="shared" si="115"/>
        <v/>
      </c>
      <c r="X232" s="103" t="str">
        <f t="shared" si="116"/>
        <v/>
      </c>
      <c r="Y232" s="100" t="str">
        <f t="shared" si="117"/>
        <v/>
      </c>
      <c r="Z232" s="100" t="str">
        <f t="shared" si="118"/>
        <v/>
      </c>
      <c r="AA232" s="100" t="e">
        <f t="shared" si="119"/>
        <v>#VALUE!</v>
      </c>
      <c r="AB232" s="100" t="e">
        <f t="shared" si="120"/>
        <v>#VALUE!</v>
      </c>
      <c r="AC232" s="100" t="e">
        <f t="shared" si="121"/>
        <v>#VALUE!</v>
      </c>
      <c r="AD232" s="100" t="e">
        <f t="shared" si="122"/>
        <v>#VALUE!</v>
      </c>
      <c r="AE232" s="8" t="str">
        <f t="shared" si="95"/>
        <v/>
      </c>
      <c r="AF232" s="8" t="str">
        <f t="shared" si="96"/>
        <v/>
      </c>
      <c r="AG232" s="7" t="str">
        <f t="shared" si="123"/>
        <v>Good</v>
      </c>
      <c r="AI232" s="100">
        <f t="shared" si="124"/>
        <v>28.980801887999998</v>
      </c>
      <c r="AJ232" s="100">
        <f t="shared" si="125"/>
        <v>47.751368606</v>
      </c>
    </row>
    <row r="233" spans="1:36" x14ac:dyDescent="0.2">
      <c r="A233" s="8">
        <v>23.02</v>
      </c>
      <c r="B233" s="100">
        <v>28.983324865</v>
      </c>
      <c r="C233" s="100">
        <v>47.741676783999999</v>
      </c>
      <c r="D233" s="101">
        <v>23020.48334376256</v>
      </c>
      <c r="E233" s="42" t="str">
        <f t="shared" si="97"/>
        <v/>
      </c>
      <c r="F233" s="7" t="str">
        <f t="shared" si="98"/>
        <v/>
      </c>
      <c r="G233" s="100" t="str">
        <f t="shared" si="99"/>
        <v/>
      </c>
      <c r="H233" s="100" t="str">
        <f t="shared" si="100"/>
        <v/>
      </c>
      <c r="I233" s="100" t="str">
        <f t="shared" si="101"/>
        <v/>
      </c>
      <c r="J233" s="100" t="str">
        <f t="shared" si="102"/>
        <v/>
      </c>
      <c r="K233" s="102" t="str">
        <f t="shared" si="103"/>
        <v/>
      </c>
      <c r="L233" s="103" t="str">
        <f t="shared" si="104"/>
        <v/>
      </c>
      <c r="M233" s="103" t="str">
        <f t="shared" si="105"/>
        <v/>
      </c>
      <c r="N233" s="103" t="str">
        <f t="shared" si="106"/>
        <v/>
      </c>
      <c r="O233" s="103" t="str">
        <f t="shared" si="107"/>
        <v/>
      </c>
      <c r="P233" s="105" t="str">
        <f t="shared" si="108"/>
        <v/>
      </c>
      <c r="Q233" s="105" t="str">
        <f t="shared" si="109"/>
        <v/>
      </c>
      <c r="R233" s="104" t="str">
        <f t="shared" si="110"/>
        <v/>
      </c>
      <c r="S233" s="104" t="str">
        <f t="shared" si="111"/>
        <v/>
      </c>
      <c r="T233" s="105" t="str">
        <f t="shared" si="112"/>
        <v/>
      </c>
      <c r="U233" s="14" t="str">
        <f t="shared" si="113"/>
        <v/>
      </c>
      <c r="V233" s="14" t="str">
        <f t="shared" si="114"/>
        <v/>
      </c>
      <c r="W233" s="103" t="str">
        <f t="shared" si="115"/>
        <v/>
      </c>
      <c r="X233" s="103" t="str">
        <f t="shared" si="116"/>
        <v/>
      </c>
      <c r="Y233" s="100" t="str">
        <f t="shared" si="117"/>
        <v/>
      </c>
      <c r="Z233" s="100" t="str">
        <f t="shared" si="118"/>
        <v/>
      </c>
      <c r="AA233" s="100" t="e">
        <f t="shared" si="119"/>
        <v>#VALUE!</v>
      </c>
      <c r="AB233" s="100" t="e">
        <f t="shared" si="120"/>
        <v>#VALUE!</v>
      </c>
      <c r="AC233" s="100" t="e">
        <f t="shared" si="121"/>
        <v>#VALUE!</v>
      </c>
      <c r="AD233" s="100" t="e">
        <f t="shared" si="122"/>
        <v>#VALUE!</v>
      </c>
      <c r="AE233" s="8" t="str">
        <f t="shared" si="95"/>
        <v/>
      </c>
      <c r="AF233" s="8" t="str">
        <f t="shared" si="96"/>
        <v/>
      </c>
      <c r="AG233" s="7" t="str">
        <f t="shared" si="123"/>
        <v>Good</v>
      </c>
      <c r="AI233" s="100">
        <f t="shared" si="124"/>
        <v>28.983324865</v>
      </c>
      <c r="AJ233" s="100">
        <f t="shared" si="125"/>
        <v>47.741676783999999</v>
      </c>
    </row>
    <row r="234" spans="1:36" x14ac:dyDescent="0.2">
      <c r="A234" s="8">
        <v>23.027000000000001</v>
      </c>
      <c r="D234" s="101">
        <v>23027</v>
      </c>
      <c r="E234" s="42">
        <f t="shared" si="97"/>
        <v>6.5166562374397472</v>
      </c>
      <c r="F234" s="7">
        <f t="shared" si="98"/>
        <v>1</v>
      </c>
      <c r="G234" s="100">
        <f t="shared" si="99"/>
        <v>28.983324865</v>
      </c>
      <c r="H234" s="100">
        <f t="shared" si="100"/>
        <v>47.741676783999999</v>
      </c>
      <c r="I234" s="100">
        <f t="shared" si="101"/>
        <v>28.983339727000001</v>
      </c>
      <c r="J234" s="100">
        <f t="shared" si="102"/>
        <v>47.741604154000001</v>
      </c>
      <c r="K234" s="102">
        <f t="shared" si="103"/>
        <v>38</v>
      </c>
      <c r="L234" s="103">
        <f t="shared" si="104"/>
        <v>3209236.6605168004</v>
      </c>
      <c r="M234" s="103">
        <f t="shared" si="105"/>
        <v>767136.44311665278</v>
      </c>
      <c r="N234" s="103">
        <f t="shared" si="106"/>
        <v>3209238.1438250733</v>
      </c>
      <c r="O234" s="103">
        <f t="shared" si="107"/>
        <v>767129.32526611385</v>
      </c>
      <c r="P234" s="105">
        <f t="shared" si="108"/>
        <v>1.4833082729019225</v>
      </c>
      <c r="Q234" s="105">
        <f t="shared" si="109"/>
        <v>-7.1178505389252678</v>
      </c>
      <c r="R234" s="104">
        <f t="shared" si="110"/>
        <v>7.2707633524230459</v>
      </c>
      <c r="S234" s="104" t="str">
        <f t="shared" si="111"/>
        <v>NW</v>
      </c>
      <c r="T234" s="105">
        <f t="shared" si="112"/>
        <v>0.20545231004370551</v>
      </c>
      <c r="U234" s="14">
        <f t="shared" si="113"/>
        <v>-6.379603194786025</v>
      </c>
      <c r="V234" s="14">
        <f t="shared" si="114"/>
        <v>1.3294628968264992</v>
      </c>
      <c r="W234" s="103">
        <f t="shared" si="115"/>
        <v>3209237.9899796974</v>
      </c>
      <c r="X234" s="103">
        <f t="shared" si="116"/>
        <v>767130.06351345801</v>
      </c>
      <c r="Y234" s="100">
        <f t="shared" si="117"/>
        <v>28.983338159403502</v>
      </c>
      <c r="Z234" s="100">
        <f t="shared" si="118"/>
        <v>47.741611687761974</v>
      </c>
      <c r="AA234" s="100">
        <f t="shared" si="119"/>
        <v>-1.3294403501618035E-5</v>
      </c>
      <c r="AB234" s="100">
        <f t="shared" si="120"/>
        <v>-1.5675964988304258E-6</v>
      </c>
      <c r="AC234" s="100">
        <f t="shared" si="121"/>
        <v>6.5096238024864306E-5</v>
      </c>
      <c r="AD234" s="100">
        <f t="shared" si="122"/>
        <v>7.5337619733772954E-6</v>
      </c>
      <c r="AE234" s="8" t="str">
        <f t="shared" si="95"/>
        <v>Good</v>
      </c>
      <c r="AF234" s="8" t="str">
        <f t="shared" si="96"/>
        <v>Good</v>
      </c>
      <c r="AG234" s="7" t="str">
        <f t="shared" si="123"/>
        <v>Good</v>
      </c>
      <c r="AI234" s="100">
        <f t="shared" si="124"/>
        <v>28.983338159403502</v>
      </c>
      <c r="AJ234" s="100">
        <f t="shared" si="125"/>
        <v>47.741611687761974</v>
      </c>
    </row>
    <row r="235" spans="1:36" x14ac:dyDescent="0.2">
      <c r="A235" s="8">
        <v>23.027999999999999</v>
      </c>
      <c r="B235" s="100">
        <v>28.983339727000001</v>
      </c>
      <c r="C235" s="100">
        <v>47.741604154000001</v>
      </c>
      <c r="D235" s="101">
        <v>23027.734003726855</v>
      </c>
      <c r="E235" s="42" t="str">
        <f t="shared" si="97"/>
        <v/>
      </c>
      <c r="F235" s="7" t="str">
        <f t="shared" si="98"/>
        <v/>
      </c>
      <c r="G235" s="100" t="str">
        <f t="shared" si="99"/>
        <v/>
      </c>
      <c r="H235" s="100" t="str">
        <f t="shared" si="100"/>
        <v/>
      </c>
      <c r="I235" s="100" t="str">
        <f t="shared" si="101"/>
        <v/>
      </c>
      <c r="J235" s="100" t="str">
        <f t="shared" si="102"/>
        <v/>
      </c>
      <c r="K235" s="102" t="str">
        <f t="shared" si="103"/>
        <v/>
      </c>
      <c r="L235" s="103" t="str">
        <f t="shared" si="104"/>
        <v/>
      </c>
      <c r="M235" s="103" t="str">
        <f t="shared" si="105"/>
        <v/>
      </c>
      <c r="N235" s="103" t="str">
        <f t="shared" si="106"/>
        <v/>
      </c>
      <c r="O235" s="103" t="str">
        <f t="shared" si="107"/>
        <v/>
      </c>
      <c r="P235" s="105" t="str">
        <f t="shared" si="108"/>
        <v/>
      </c>
      <c r="Q235" s="105" t="str">
        <f t="shared" si="109"/>
        <v/>
      </c>
      <c r="R235" s="104" t="str">
        <f t="shared" si="110"/>
        <v/>
      </c>
      <c r="S235" s="104" t="str">
        <f t="shared" si="111"/>
        <v/>
      </c>
      <c r="T235" s="105" t="str">
        <f t="shared" si="112"/>
        <v/>
      </c>
      <c r="U235" s="14" t="str">
        <f t="shared" si="113"/>
        <v/>
      </c>
      <c r="V235" s="14" t="str">
        <f t="shared" si="114"/>
        <v/>
      </c>
      <c r="W235" s="103" t="str">
        <f t="shared" si="115"/>
        <v/>
      </c>
      <c r="X235" s="103" t="str">
        <f t="shared" si="116"/>
        <v/>
      </c>
      <c r="Y235" s="100" t="str">
        <f t="shared" si="117"/>
        <v/>
      </c>
      <c r="Z235" s="100" t="str">
        <f t="shared" si="118"/>
        <v/>
      </c>
      <c r="AA235" s="100" t="e">
        <f t="shared" si="119"/>
        <v>#VALUE!</v>
      </c>
      <c r="AB235" s="100" t="e">
        <f t="shared" si="120"/>
        <v>#VALUE!</v>
      </c>
      <c r="AC235" s="100" t="e">
        <f t="shared" si="121"/>
        <v>#VALUE!</v>
      </c>
      <c r="AD235" s="100" t="e">
        <f t="shared" si="122"/>
        <v>#VALUE!</v>
      </c>
      <c r="AE235" s="8" t="str">
        <f t="shared" si="95"/>
        <v/>
      </c>
      <c r="AF235" s="8" t="str">
        <f t="shared" si="96"/>
        <v/>
      </c>
      <c r="AG235" s="7" t="str">
        <f t="shared" si="123"/>
        <v>Good</v>
      </c>
      <c r="AI235" s="100">
        <f t="shared" si="124"/>
        <v>28.983339727000001</v>
      </c>
      <c r="AJ235" s="100">
        <f t="shared" si="125"/>
        <v>47.741604154000001</v>
      </c>
    </row>
    <row r="236" spans="1:36" x14ac:dyDescent="0.2">
      <c r="A236" s="8">
        <v>23.145</v>
      </c>
      <c r="B236" s="100">
        <v>28.983631519999999</v>
      </c>
      <c r="C236" s="100">
        <v>47.740445602999998</v>
      </c>
      <c r="D236" s="101">
        <v>23144.92350817829</v>
      </c>
      <c r="E236" s="42" t="str">
        <f t="shared" si="97"/>
        <v/>
      </c>
      <c r="F236" s="7" t="str">
        <f t="shared" si="98"/>
        <v/>
      </c>
      <c r="G236" s="100" t="str">
        <f t="shared" si="99"/>
        <v/>
      </c>
      <c r="H236" s="100" t="str">
        <f t="shared" si="100"/>
        <v/>
      </c>
      <c r="I236" s="100" t="str">
        <f t="shared" si="101"/>
        <v/>
      </c>
      <c r="J236" s="100" t="str">
        <f t="shared" si="102"/>
        <v/>
      </c>
      <c r="K236" s="102" t="str">
        <f t="shared" si="103"/>
        <v/>
      </c>
      <c r="L236" s="103" t="str">
        <f t="shared" si="104"/>
        <v/>
      </c>
      <c r="M236" s="103" t="str">
        <f t="shared" si="105"/>
        <v/>
      </c>
      <c r="N236" s="103" t="str">
        <f t="shared" si="106"/>
        <v/>
      </c>
      <c r="O236" s="103" t="str">
        <f t="shared" si="107"/>
        <v/>
      </c>
      <c r="P236" s="105" t="str">
        <f t="shared" si="108"/>
        <v/>
      </c>
      <c r="Q236" s="105" t="str">
        <f t="shared" si="109"/>
        <v/>
      </c>
      <c r="R236" s="104" t="str">
        <f t="shared" si="110"/>
        <v/>
      </c>
      <c r="S236" s="104" t="str">
        <f t="shared" si="111"/>
        <v/>
      </c>
      <c r="T236" s="105" t="str">
        <f t="shared" si="112"/>
        <v/>
      </c>
      <c r="U236" s="14" t="str">
        <f t="shared" si="113"/>
        <v/>
      </c>
      <c r="V236" s="14" t="str">
        <f t="shared" si="114"/>
        <v/>
      </c>
      <c r="W236" s="103" t="str">
        <f t="shared" si="115"/>
        <v/>
      </c>
      <c r="X236" s="103" t="str">
        <f t="shared" si="116"/>
        <v/>
      </c>
      <c r="Y236" s="100" t="str">
        <f t="shared" si="117"/>
        <v/>
      </c>
      <c r="Z236" s="100" t="str">
        <f t="shared" si="118"/>
        <v/>
      </c>
      <c r="AA236" s="100" t="e">
        <f t="shared" si="119"/>
        <v>#VALUE!</v>
      </c>
      <c r="AB236" s="100" t="e">
        <f t="shared" si="120"/>
        <v>#VALUE!</v>
      </c>
      <c r="AC236" s="100" t="e">
        <f t="shared" si="121"/>
        <v>#VALUE!</v>
      </c>
      <c r="AD236" s="100" t="e">
        <f t="shared" si="122"/>
        <v>#VALUE!</v>
      </c>
      <c r="AE236" s="8" t="str">
        <f t="shared" si="95"/>
        <v/>
      </c>
      <c r="AF236" s="8" t="str">
        <f t="shared" si="96"/>
        <v/>
      </c>
      <c r="AG236" s="7" t="str">
        <f t="shared" si="123"/>
        <v>Good</v>
      </c>
      <c r="AI236" s="100">
        <f t="shared" si="124"/>
        <v>28.983631519999999</v>
      </c>
      <c r="AJ236" s="100">
        <f t="shared" si="125"/>
        <v>47.740445602999998</v>
      </c>
    </row>
    <row r="237" spans="1:36" x14ac:dyDescent="0.2">
      <c r="A237" s="8">
        <v>23.151</v>
      </c>
      <c r="B237" s="100">
        <v>28.983650600000001</v>
      </c>
      <c r="C237" s="100">
        <v>47.740384835</v>
      </c>
      <c r="D237" s="101">
        <v>23151.199358713409</v>
      </c>
      <c r="E237" s="42" t="str">
        <f t="shared" si="97"/>
        <v/>
      </c>
      <c r="F237" s="7" t="str">
        <f t="shared" si="98"/>
        <v/>
      </c>
      <c r="G237" s="100" t="str">
        <f t="shared" si="99"/>
        <v/>
      </c>
      <c r="H237" s="100" t="str">
        <f t="shared" si="100"/>
        <v/>
      </c>
      <c r="I237" s="100" t="str">
        <f t="shared" si="101"/>
        <v/>
      </c>
      <c r="J237" s="100" t="str">
        <f t="shared" si="102"/>
        <v/>
      </c>
      <c r="K237" s="102" t="str">
        <f t="shared" si="103"/>
        <v/>
      </c>
      <c r="L237" s="103" t="str">
        <f t="shared" si="104"/>
        <v/>
      </c>
      <c r="M237" s="103" t="str">
        <f t="shared" si="105"/>
        <v/>
      </c>
      <c r="N237" s="103" t="str">
        <f t="shared" si="106"/>
        <v/>
      </c>
      <c r="O237" s="103" t="str">
        <f t="shared" si="107"/>
        <v/>
      </c>
      <c r="P237" s="105" t="str">
        <f t="shared" si="108"/>
        <v/>
      </c>
      <c r="Q237" s="105" t="str">
        <f t="shared" si="109"/>
        <v/>
      </c>
      <c r="R237" s="104" t="str">
        <f t="shared" si="110"/>
        <v/>
      </c>
      <c r="S237" s="104" t="str">
        <f t="shared" si="111"/>
        <v/>
      </c>
      <c r="T237" s="105" t="str">
        <f t="shared" si="112"/>
        <v/>
      </c>
      <c r="U237" s="14" t="str">
        <f t="shared" si="113"/>
        <v/>
      </c>
      <c r="V237" s="14" t="str">
        <f t="shared" si="114"/>
        <v/>
      </c>
      <c r="W237" s="103" t="str">
        <f t="shared" si="115"/>
        <v/>
      </c>
      <c r="X237" s="103" t="str">
        <f t="shared" si="116"/>
        <v/>
      </c>
      <c r="Y237" s="100" t="str">
        <f t="shared" si="117"/>
        <v/>
      </c>
      <c r="Z237" s="100" t="str">
        <f t="shared" si="118"/>
        <v/>
      </c>
      <c r="AA237" s="100" t="e">
        <f t="shared" si="119"/>
        <v>#VALUE!</v>
      </c>
      <c r="AB237" s="100" t="e">
        <f t="shared" si="120"/>
        <v>#VALUE!</v>
      </c>
      <c r="AC237" s="100" t="e">
        <f t="shared" si="121"/>
        <v>#VALUE!</v>
      </c>
      <c r="AD237" s="100" t="e">
        <f t="shared" si="122"/>
        <v>#VALUE!</v>
      </c>
      <c r="AE237" s="8" t="str">
        <f t="shared" si="95"/>
        <v/>
      </c>
      <c r="AF237" s="8" t="str">
        <f t="shared" si="96"/>
        <v/>
      </c>
      <c r="AG237" s="7" t="str">
        <f t="shared" si="123"/>
        <v>Good</v>
      </c>
      <c r="AI237" s="100">
        <f t="shared" si="124"/>
        <v>28.983650600000001</v>
      </c>
      <c r="AJ237" s="100">
        <f t="shared" si="125"/>
        <v>47.740384835</v>
      </c>
    </row>
    <row r="238" spans="1:36" x14ac:dyDescent="0.2">
      <c r="A238" s="8">
        <v>23.152000000000001</v>
      </c>
      <c r="B238" s="100">
        <v>28.983650649000001</v>
      </c>
      <c r="C238" s="100">
        <v>47.740384667000001</v>
      </c>
      <c r="D238" s="101">
        <v>23151.199358713409</v>
      </c>
      <c r="E238" s="42" t="str">
        <f t="shared" si="97"/>
        <v/>
      </c>
      <c r="F238" s="7" t="str">
        <f t="shared" si="98"/>
        <v/>
      </c>
      <c r="G238" s="100" t="str">
        <f t="shared" si="99"/>
        <v/>
      </c>
      <c r="H238" s="100" t="str">
        <f t="shared" si="100"/>
        <v/>
      </c>
      <c r="I238" s="100" t="str">
        <f t="shared" si="101"/>
        <v/>
      </c>
      <c r="J238" s="100" t="str">
        <f t="shared" si="102"/>
        <v/>
      </c>
      <c r="K238" s="102" t="str">
        <f t="shared" si="103"/>
        <v/>
      </c>
      <c r="L238" s="103" t="str">
        <f t="shared" si="104"/>
        <v/>
      </c>
      <c r="M238" s="103" t="str">
        <f t="shared" si="105"/>
        <v/>
      </c>
      <c r="N238" s="103" t="str">
        <f t="shared" si="106"/>
        <v/>
      </c>
      <c r="O238" s="103" t="str">
        <f t="shared" si="107"/>
        <v/>
      </c>
      <c r="P238" s="105" t="str">
        <f t="shared" si="108"/>
        <v/>
      </c>
      <c r="Q238" s="105" t="str">
        <f t="shared" si="109"/>
        <v/>
      </c>
      <c r="R238" s="104" t="str">
        <f t="shared" si="110"/>
        <v/>
      </c>
      <c r="S238" s="104" t="str">
        <f t="shared" si="111"/>
        <v/>
      </c>
      <c r="T238" s="105" t="str">
        <f t="shared" si="112"/>
        <v/>
      </c>
      <c r="U238" s="14" t="str">
        <f t="shared" si="113"/>
        <v/>
      </c>
      <c r="V238" s="14" t="str">
        <f t="shared" si="114"/>
        <v/>
      </c>
      <c r="W238" s="103" t="str">
        <f t="shared" si="115"/>
        <v/>
      </c>
      <c r="X238" s="103" t="str">
        <f t="shared" si="116"/>
        <v/>
      </c>
      <c r="Y238" s="100" t="str">
        <f t="shared" si="117"/>
        <v/>
      </c>
      <c r="Z238" s="100" t="str">
        <f t="shared" si="118"/>
        <v/>
      </c>
      <c r="AA238" s="100" t="e">
        <f t="shared" si="119"/>
        <v>#VALUE!</v>
      </c>
      <c r="AB238" s="100" t="e">
        <f t="shared" si="120"/>
        <v>#VALUE!</v>
      </c>
      <c r="AC238" s="100" t="e">
        <f t="shared" si="121"/>
        <v>#VALUE!</v>
      </c>
      <c r="AD238" s="100" t="e">
        <f t="shared" si="122"/>
        <v>#VALUE!</v>
      </c>
      <c r="AE238" s="8" t="str">
        <f t="shared" si="95"/>
        <v/>
      </c>
      <c r="AF238" s="8" t="str">
        <f t="shared" si="96"/>
        <v/>
      </c>
      <c r="AG238" s="7" t="str">
        <f t="shared" si="123"/>
        <v>Good</v>
      </c>
      <c r="AI238" s="100">
        <f t="shared" si="124"/>
        <v>28.983650649000001</v>
      </c>
      <c r="AJ238" s="100">
        <f t="shared" si="125"/>
        <v>47.740384667000001</v>
      </c>
    </row>
    <row r="239" spans="1:36" x14ac:dyDescent="0.2">
      <c r="A239" s="8">
        <v>23.152999999999999</v>
      </c>
      <c r="B239" s="100">
        <v>28.983651946999998</v>
      </c>
      <c r="C239" s="100">
        <v>47.740366698000003</v>
      </c>
      <c r="D239" s="101">
        <v>23152.95639606996</v>
      </c>
      <c r="E239" s="42" t="str">
        <f t="shared" si="97"/>
        <v/>
      </c>
      <c r="F239" s="7" t="str">
        <f t="shared" si="98"/>
        <v/>
      </c>
      <c r="G239" s="100" t="str">
        <f t="shared" si="99"/>
        <v/>
      </c>
      <c r="H239" s="100" t="str">
        <f t="shared" si="100"/>
        <v/>
      </c>
      <c r="I239" s="100" t="str">
        <f t="shared" si="101"/>
        <v/>
      </c>
      <c r="J239" s="100" t="str">
        <f t="shared" si="102"/>
        <v/>
      </c>
      <c r="K239" s="102" t="str">
        <f t="shared" si="103"/>
        <v/>
      </c>
      <c r="L239" s="103" t="str">
        <f t="shared" si="104"/>
        <v/>
      </c>
      <c r="M239" s="103" t="str">
        <f t="shared" si="105"/>
        <v/>
      </c>
      <c r="N239" s="103" t="str">
        <f t="shared" si="106"/>
        <v/>
      </c>
      <c r="O239" s="103" t="str">
        <f t="shared" si="107"/>
        <v/>
      </c>
      <c r="P239" s="105" t="str">
        <f t="shared" si="108"/>
        <v/>
      </c>
      <c r="Q239" s="105" t="str">
        <f t="shared" si="109"/>
        <v/>
      </c>
      <c r="R239" s="104" t="str">
        <f t="shared" si="110"/>
        <v/>
      </c>
      <c r="S239" s="104" t="str">
        <f t="shared" si="111"/>
        <v/>
      </c>
      <c r="T239" s="105" t="str">
        <f t="shared" si="112"/>
        <v/>
      </c>
      <c r="U239" s="14" t="str">
        <f t="shared" si="113"/>
        <v/>
      </c>
      <c r="V239" s="14" t="str">
        <f t="shared" si="114"/>
        <v/>
      </c>
      <c r="W239" s="103" t="str">
        <f t="shared" si="115"/>
        <v/>
      </c>
      <c r="X239" s="103" t="str">
        <f t="shared" si="116"/>
        <v/>
      </c>
      <c r="Y239" s="100" t="str">
        <f t="shared" si="117"/>
        <v/>
      </c>
      <c r="Z239" s="100" t="str">
        <f t="shared" si="118"/>
        <v/>
      </c>
      <c r="AA239" s="100" t="e">
        <f t="shared" si="119"/>
        <v>#VALUE!</v>
      </c>
      <c r="AB239" s="100" t="e">
        <f t="shared" si="120"/>
        <v>#VALUE!</v>
      </c>
      <c r="AC239" s="100" t="e">
        <f t="shared" si="121"/>
        <v>#VALUE!</v>
      </c>
      <c r="AD239" s="100" t="e">
        <f t="shared" si="122"/>
        <v>#VALUE!</v>
      </c>
      <c r="AE239" s="8" t="str">
        <f t="shared" si="95"/>
        <v/>
      </c>
      <c r="AF239" s="8" t="str">
        <f t="shared" si="96"/>
        <v/>
      </c>
      <c r="AG239" s="7" t="str">
        <f t="shared" si="123"/>
        <v>Good</v>
      </c>
      <c r="AI239" s="100">
        <f t="shared" si="124"/>
        <v>28.983651946999998</v>
      </c>
      <c r="AJ239" s="100">
        <f t="shared" si="125"/>
        <v>47.740366698000003</v>
      </c>
    </row>
    <row r="240" spans="1:36" x14ac:dyDescent="0.2">
      <c r="A240" s="8">
        <v>23.155999999999999</v>
      </c>
      <c r="B240" s="100">
        <v>28.983664774000001</v>
      </c>
      <c r="C240" s="100">
        <v>47.740343361000001</v>
      </c>
      <c r="D240" s="101">
        <v>23155.636399691772</v>
      </c>
      <c r="E240" s="42" t="str">
        <f t="shared" si="97"/>
        <v/>
      </c>
      <c r="F240" s="7" t="str">
        <f t="shared" si="98"/>
        <v/>
      </c>
      <c r="G240" s="100" t="str">
        <f t="shared" si="99"/>
        <v/>
      </c>
      <c r="H240" s="100" t="str">
        <f t="shared" si="100"/>
        <v/>
      </c>
      <c r="I240" s="100" t="str">
        <f t="shared" si="101"/>
        <v/>
      </c>
      <c r="J240" s="100" t="str">
        <f t="shared" si="102"/>
        <v/>
      </c>
      <c r="K240" s="102" t="str">
        <f t="shared" si="103"/>
        <v/>
      </c>
      <c r="L240" s="103" t="str">
        <f t="shared" si="104"/>
        <v/>
      </c>
      <c r="M240" s="103" t="str">
        <f t="shared" si="105"/>
        <v/>
      </c>
      <c r="N240" s="103" t="str">
        <f t="shared" si="106"/>
        <v/>
      </c>
      <c r="O240" s="103" t="str">
        <f t="shared" si="107"/>
        <v/>
      </c>
      <c r="P240" s="105" t="str">
        <f t="shared" si="108"/>
        <v/>
      </c>
      <c r="Q240" s="105" t="str">
        <f t="shared" si="109"/>
        <v/>
      </c>
      <c r="R240" s="104" t="str">
        <f t="shared" si="110"/>
        <v/>
      </c>
      <c r="S240" s="104" t="str">
        <f t="shared" si="111"/>
        <v/>
      </c>
      <c r="T240" s="105" t="str">
        <f t="shared" si="112"/>
        <v/>
      </c>
      <c r="U240" s="14" t="str">
        <f t="shared" si="113"/>
        <v/>
      </c>
      <c r="V240" s="14" t="str">
        <f t="shared" si="114"/>
        <v/>
      </c>
      <c r="W240" s="103" t="str">
        <f t="shared" si="115"/>
        <v/>
      </c>
      <c r="X240" s="103" t="str">
        <f t="shared" si="116"/>
        <v/>
      </c>
      <c r="Y240" s="100" t="str">
        <f t="shared" si="117"/>
        <v/>
      </c>
      <c r="Z240" s="100" t="str">
        <f t="shared" si="118"/>
        <v/>
      </c>
      <c r="AA240" s="100" t="e">
        <f t="shared" si="119"/>
        <v>#VALUE!</v>
      </c>
      <c r="AB240" s="100" t="e">
        <f t="shared" si="120"/>
        <v>#VALUE!</v>
      </c>
      <c r="AC240" s="100" t="e">
        <f t="shared" si="121"/>
        <v>#VALUE!</v>
      </c>
      <c r="AD240" s="100" t="e">
        <f t="shared" si="122"/>
        <v>#VALUE!</v>
      </c>
      <c r="AE240" s="8" t="str">
        <f t="shared" si="95"/>
        <v/>
      </c>
      <c r="AF240" s="8" t="str">
        <f t="shared" si="96"/>
        <v/>
      </c>
      <c r="AG240" s="7" t="str">
        <f t="shared" si="123"/>
        <v>Good</v>
      </c>
      <c r="AI240" s="100">
        <f t="shared" si="124"/>
        <v>28.983664774000001</v>
      </c>
      <c r="AJ240" s="100">
        <f t="shared" si="125"/>
        <v>47.740343361000001</v>
      </c>
    </row>
    <row r="241" spans="1:36" x14ac:dyDescent="0.2">
      <c r="A241" s="8">
        <v>23.157</v>
      </c>
      <c r="B241" s="100">
        <v>28.983667740000001</v>
      </c>
      <c r="C241" s="100">
        <v>47.740333901</v>
      </c>
      <c r="D241" s="101">
        <v>23156.613157446678</v>
      </c>
      <c r="E241" s="42" t="str">
        <f t="shared" si="97"/>
        <v/>
      </c>
      <c r="F241" s="7" t="str">
        <f t="shared" si="98"/>
        <v/>
      </c>
      <c r="G241" s="100" t="str">
        <f t="shared" si="99"/>
        <v/>
      </c>
      <c r="H241" s="100" t="str">
        <f t="shared" si="100"/>
        <v/>
      </c>
      <c r="I241" s="100" t="str">
        <f t="shared" si="101"/>
        <v/>
      </c>
      <c r="J241" s="100" t="str">
        <f t="shared" si="102"/>
        <v/>
      </c>
      <c r="K241" s="102" t="str">
        <f t="shared" si="103"/>
        <v/>
      </c>
      <c r="L241" s="103" t="str">
        <f t="shared" si="104"/>
        <v/>
      </c>
      <c r="M241" s="103" t="str">
        <f t="shared" si="105"/>
        <v/>
      </c>
      <c r="N241" s="103" t="str">
        <f t="shared" si="106"/>
        <v/>
      </c>
      <c r="O241" s="103" t="str">
        <f t="shared" si="107"/>
        <v/>
      </c>
      <c r="P241" s="105" t="str">
        <f t="shared" si="108"/>
        <v/>
      </c>
      <c r="Q241" s="105" t="str">
        <f t="shared" si="109"/>
        <v/>
      </c>
      <c r="R241" s="104" t="str">
        <f t="shared" si="110"/>
        <v/>
      </c>
      <c r="S241" s="104" t="str">
        <f t="shared" si="111"/>
        <v/>
      </c>
      <c r="T241" s="105" t="str">
        <f t="shared" si="112"/>
        <v/>
      </c>
      <c r="U241" s="14" t="str">
        <f t="shared" si="113"/>
        <v/>
      </c>
      <c r="V241" s="14" t="str">
        <f t="shared" si="114"/>
        <v/>
      </c>
      <c r="W241" s="103" t="str">
        <f t="shared" si="115"/>
        <v/>
      </c>
      <c r="X241" s="103" t="str">
        <f t="shared" si="116"/>
        <v/>
      </c>
      <c r="Y241" s="100" t="str">
        <f t="shared" si="117"/>
        <v/>
      </c>
      <c r="Z241" s="100" t="str">
        <f t="shared" si="118"/>
        <v/>
      </c>
      <c r="AA241" s="100" t="e">
        <f t="shared" si="119"/>
        <v>#VALUE!</v>
      </c>
      <c r="AB241" s="100" t="e">
        <f t="shared" si="120"/>
        <v>#VALUE!</v>
      </c>
      <c r="AC241" s="100" t="e">
        <f t="shared" si="121"/>
        <v>#VALUE!</v>
      </c>
      <c r="AD241" s="100" t="e">
        <f t="shared" si="122"/>
        <v>#VALUE!</v>
      </c>
      <c r="AE241" s="8" t="str">
        <f t="shared" si="95"/>
        <v/>
      </c>
      <c r="AF241" s="8" t="str">
        <f t="shared" si="96"/>
        <v/>
      </c>
      <c r="AG241" s="7" t="str">
        <f t="shared" si="123"/>
        <v>Good</v>
      </c>
      <c r="AI241" s="100">
        <f t="shared" si="124"/>
        <v>28.983667740000001</v>
      </c>
      <c r="AJ241" s="100">
        <f t="shared" si="125"/>
        <v>47.740333901</v>
      </c>
    </row>
    <row r="242" spans="1:36" x14ac:dyDescent="0.2">
      <c r="A242" s="8">
        <v>23.158000000000001</v>
      </c>
      <c r="B242" s="100">
        <v>28.983662979000002</v>
      </c>
      <c r="C242" s="100">
        <v>47.740328863999999</v>
      </c>
      <c r="D242" s="101">
        <v>23157.335674216331</v>
      </c>
      <c r="E242" s="42" t="str">
        <f t="shared" si="97"/>
        <v/>
      </c>
      <c r="F242" s="7" t="str">
        <f t="shared" si="98"/>
        <v/>
      </c>
      <c r="G242" s="100" t="str">
        <f t="shared" si="99"/>
        <v/>
      </c>
      <c r="H242" s="100" t="str">
        <f t="shared" si="100"/>
        <v/>
      </c>
      <c r="I242" s="100" t="str">
        <f t="shared" si="101"/>
        <v/>
      </c>
      <c r="J242" s="100" t="str">
        <f t="shared" si="102"/>
        <v/>
      </c>
      <c r="K242" s="102" t="str">
        <f t="shared" si="103"/>
        <v/>
      </c>
      <c r="L242" s="103" t="str">
        <f t="shared" si="104"/>
        <v/>
      </c>
      <c r="M242" s="103" t="str">
        <f t="shared" si="105"/>
        <v/>
      </c>
      <c r="N242" s="103" t="str">
        <f t="shared" si="106"/>
        <v/>
      </c>
      <c r="O242" s="103" t="str">
        <f t="shared" si="107"/>
        <v/>
      </c>
      <c r="P242" s="105" t="str">
        <f t="shared" si="108"/>
        <v/>
      </c>
      <c r="Q242" s="105" t="str">
        <f t="shared" si="109"/>
        <v/>
      </c>
      <c r="R242" s="104" t="str">
        <f t="shared" si="110"/>
        <v/>
      </c>
      <c r="S242" s="104" t="str">
        <f t="shared" si="111"/>
        <v/>
      </c>
      <c r="T242" s="105" t="str">
        <f t="shared" si="112"/>
        <v/>
      </c>
      <c r="U242" s="14" t="str">
        <f t="shared" si="113"/>
        <v/>
      </c>
      <c r="V242" s="14" t="str">
        <f t="shared" si="114"/>
        <v/>
      </c>
      <c r="W242" s="103" t="str">
        <f t="shared" si="115"/>
        <v/>
      </c>
      <c r="X242" s="103" t="str">
        <f t="shared" si="116"/>
        <v/>
      </c>
      <c r="Y242" s="100" t="str">
        <f t="shared" si="117"/>
        <v/>
      </c>
      <c r="Z242" s="100" t="str">
        <f t="shared" si="118"/>
        <v/>
      </c>
      <c r="AA242" s="100" t="e">
        <f t="shared" si="119"/>
        <v>#VALUE!</v>
      </c>
      <c r="AB242" s="100" t="e">
        <f t="shared" si="120"/>
        <v>#VALUE!</v>
      </c>
      <c r="AC242" s="100" t="e">
        <f t="shared" si="121"/>
        <v>#VALUE!</v>
      </c>
      <c r="AD242" s="100" t="e">
        <f t="shared" si="122"/>
        <v>#VALUE!</v>
      </c>
      <c r="AE242" s="8" t="str">
        <f t="shared" si="95"/>
        <v/>
      </c>
      <c r="AF242" s="8" t="str">
        <f t="shared" si="96"/>
        <v/>
      </c>
      <c r="AG242" s="7" t="str">
        <f t="shared" si="123"/>
        <v>Good</v>
      </c>
      <c r="AI242" s="100">
        <f t="shared" si="124"/>
        <v>28.983662979000002</v>
      </c>
      <c r="AJ242" s="100">
        <f t="shared" si="125"/>
        <v>47.740328863999999</v>
      </c>
    </row>
    <row r="243" spans="1:36" x14ac:dyDescent="0.2">
      <c r="A243" s="8">
        <v>23.16</v>
      </c>
      <c r="B243" s="100">
        <v>28.983679433999999</v>
      </c>
      <c r="C243" s="100">
        <v>47.740314423000001</v>
      </c>
      <c r="D243" s="101">
        <v>23159.642037287944</v>
      </c>
      <c r="E243" s="42" t="str">
        <f t="shared" si="97"/>
        <v/>
      </c>
      <c r="F243" s="7" t="str">
        <f t="shared" si="98"/>
        <v/>
      </c>
      <c r="G243" s="100" t="str">
        <f t="shared" si="99"/>
        <v/>
      </c>
      <c r="H243" s="100" t="str">
        <f t="shared" si="100"/>
        <v/>
      </c>
      <c r="I243" s="100" t="str">
        <f t="shared" si="101"/>
        <v/>
      </c>
      <c r="J243" s="100" t="str">
        <f t="shared" si="102"/>
        <v/>
      </c>
      <c r="K243" s="102" t="str">
        <f t="shared" si="103"/>
        <v/>
      </c>
      <c r="L243" s="103" t="str">
        <f t="shared" si="104"/>
        <v/>
      </c>
      <c r="M243" s="103" t="str">
        <f t="shared" si="105"/>
        <v/>
      </c>
      <c r="N243" s="103" t="str">
        <f t="shared" si="106"/>
        <v/>
      </c>
      <c r="O243" s="103" t="str">
        <f t="shared" si="107"/>
        <v/>
      </c>
      <c r="P243" s="105" t="str">
        <f t="shared" si="108"/>
        <v/>
      </c>
      <c r="Q243" s="105" t="str">
        <f t="shared" si="109"/>
        <v/>
      </c>
      <c r="R243" s="104" t="str">
        <f t="shared" si="110"/>
        <v/>
      </c>
      <c r="S243" s="104" t="str">
        <f t="shared" si="111"/>
        <v/>
      </c>
      <c r="T243" s="105" t="str">
        <f t="shared" si="112"/>
        <v/>
      </c>
      <c r="U243" s="14" t="str">
        <f t="shared" si="113"/>
        <v/>
      </c>
      <c r="V243" s="14" t="str">
        <f t="shared" si="114"/>
        <v/>
      </c>
      <c r="W243" s="103" t="str">
        <f t="shared" si="115"/>
        <v/>
      </c>
      <c r="X243" s="103" t="str">
        <f t="shared" si="116"/>
        <v/>
      </c>
      <c r="Y243" s="100" t="str">
        <f t="shared" si="117"/>
        <v/>
      </c>
      <c r="Z243" s="100" t="str">
        <f t="shared" si="118"/>
        <v/>
      </c>
      <c r="AA243" s="100" t="e">
        <f t="shared" si="119"/>
        <v>#VALUE!</v>
      </c>
      <c r="AB243" s="100" t="e">
        <f t="shared" si="120"/>
        <v>#VALUE!</v>
      </c>
      <c r="AC243" s="100" t="e">
        <f t="shared" si="121"/>
        <v>#VALUE!</v>
      </c>
      <c r="AD243" s="100" t="e">
        <f t="shared" si="122"/>
        <v>#VALUE!</v>
      </c>
      <c r="AE243" s="8" t="str">
        <f t="shared" si="95"/>
        <v/>
      </c>
      <c r="AF243" s="8" t="str">
        <f t="shared" si="96"/>
        <v/>
      </c>
      <c r="AG243" s="7" t="str">
        <f t="shared" si="123"/>
        <v>Good</v>
      </c>
      <c r="AI243" s="100">
        <f t="shared" si="124"/>
        <v>28.983679433999999</v>
      </c>
      <c r="AJ243" s="100">
        <f t="shared" si="125"/>
        <v>47.740314423000001</v>
      </c>
    </row>
    <row r="244" spans="1:36" x14ac:dyDescent="0.2">
      <c r="A244" s="8">
        <v>23.161000000000001</v>
      </c>
      <c r="B244" s="100">
        <v>28.983677030999999</v>
      </c>
      <c r="C244" s="100">
        <v>47.740305008999997</v>
      </c>
      <c r="D244" s="101">
        <v>23160.595480040774</v>
      </c>
      <c r="E244" s="42" t="str">
        <f t="shared" si="97"/>
        <v/>
      </c>
      <c r="F244" s="7" t="str">
        <f t="shared" si="98"/>
        <v/>
      </c>
      <c r="G244" s="100" t="str">
        <f t="shared" si="99"/>
        <v/>
      </c>
      <c r="H244" s="100" t="str">
        <f t="shared" si="100"/>
        <v/>
      </c>
      <c r="I244" s="100" t="str">
        <f t="shared" si="101"/>
        <v/>
      </c>
      <c r="J244" s="100" t="str">
        <f t="shared" si="102"/>
        <v/>
      </c>
      <c r="K244" s="102" t="str">
        <f t="shared" si="103"/>
        <v/>
      </c>
      <c r="L244" s="103" t="str">
        <f t="shared" si="104"/>
        <v/>
      </c>
      <c r="M244" s="103" t="str">
        <f t="shared" si="105"/>
        <v/>
      </c>
      <c r="N244" s="103" t="str">
        <f t="shared" si="106"/>
        <v/>
      </c>
      <c r="O244" s="103" t="str">
        <f t="shared" si="107"/>
        <v/>
      </c>
      <c r="P244" s="105" t="str">
        <f t="shared" si="108"/>
        <v/>
      </c>
      <c r="Q244" s="105" t="str">
        <f t="shared" si="109"/>
        <v/>
      </c>
      <c r="R244" s="104" t="str">
        <f t="shared" si="110"/>
        <v/>
      </c>
      <c r="S244" s="104" t="str">
        <f t="shared" si="111"/>
        <v/>
      </c>
      <c r="T244" s="105" t="str">
        <f t="shared" si="112"/>
        <v/>
      </c>
      <c r="U244" s="14" t="str">
        <f t="shared" si="113"/>
        <v/>
      </c>
      <c r="V244" s="14" t="str">
        <f t="shared" si="114"/>
        <v/>
      </c>
      <c r="W244" s="103" t="str">
        <f t="shared" si="115"/>
        <v/>
      </c>
      <c r="X244" s="103" t="str">
        <f t="shared" si="116"/>
        <v/>
      </c>
      <c r="Y244" s="100" t="str">
        <f t="shared" si="117"/>
        <v/>
      </c>
      <c r="Z244" s="100" t="str">
        <f t="shared" si="118"/>
        <v/>
      </c>
      <c r="AA244" s="100" t="e">
        <f t="shared" si="119"/>
        <v>#VALUE!</v>
      </c>
      <c r="AB244" s="100" t="e">
        <f t="shared" si="120"/>
        <v>#VALUE!</v>
      </c>
      <c r="AC244" s="100" t="e">
        <f t="shared" si="121"/>
        <v>#VALUE!</v>
      </c>
      <c r="AD244" s="100" t="e">
        <f t="shared" si="122"/>
        <v>#VALUE!</v>
      </c>
      <c r="AE244" s="8" t="str">
        <f t="shared" si="95"/>
        <v/>
      </c>
      <c r="AF244" s="8" t="str">
        <f t="shared" si="96"/>
        <v/>
      </c>
      <c r="AG244" s="7" t="str">
        <f t="shared" si="123"/>
        <v>Good</v>
      </c>
      <c r="AI244" s="100">
        <f t="shared" si="124"/>
        <v>28.983677030999999</v>
      </c>
      <c r="AJ244" s="100">
        <f t="shared" si="125"/>
        <v>47.740305008999997</v>
      </c>
    </row>
    <row r="245" spans="1:36" x14ac:dyDescent="0.2">
      <c r="A245" s="8">
        <v>23.161999999999999</v>
      </c>
      <c r="B245" s="100">
        <v>28.983678883</v>
      </c>
      <c r="C245" s="100">
        <v>47.740289398999998</v>
      </c>
      <c r="D245" s="101">
        <v>23162.131102943637</v>
      </c>
      <c r="E245" s="42" t="str">
        <f t="shared" si="97"/>
        <v/>
      </c>
      <c r="F245" s="7" t="str">
        <f t="shared" si="98"/>
        <v/>
      </c>
      <c r="G245" s="100" t="str">
        <f t="shared" si="99"/>
        <v/>
      </c>
      <c r="H245" s="100" t="str">
        <f t="shared" si="100"/>
        <v/>
      </c>
      <c r="I245" s="100" t="str">
        <f t="shared" si="101"/>
        <v/>
      </c>
      <c r="J245" s="100" t="str">
        <f t="shared" si="102"/>
        <v/>
      </c>
      <c r="K245" s="102" t="str">
        <f t="shared" si="103"/>
        <v/>
      </c>
      <c r="L245" s="103" t="str">
        <f t="shared" si="104"/>
        <v/>
      </c>
      <c r="M245" s="103" t="str">
        <f t="shared" si="105"/>
        <v/>
      </c>
      <c r="N245" s="103" t="str">
        <f t="shared" si="106"/>
        <v/>
      </c>
      <c r="O245" s="103" t="str">
        <f t="shared" si="107"/>
        <v/>
      </c>
      <c r="P245" s="105" t="str">
        <f t="shared" si="108"/>
        <v/>
      </c>
      <c r="Q245" s="105" t="str">
        <f t="shared" si="109"/>
        <v/>
      </c>
      <c r="R245" s="104" t="str">
        <f t="shared" si="110"/>
        <v/>
      </c>
      <c r="S245" s="104" t="str">
        <f t="shared" si="111"/>
        <v/>
      </c>
      <c r="T245" s="105" t="str">
        <f t="shared" si="112"/>
        <v/>
      </c>
      <c r="U245" s="14" t="str">
        <f t="shared" si="113"/>
        <v/>
      </c>
      <c r="V245" s="14" t="str">
        <f t="shared" si="114"/>
        <v/>
      </c>
      <c r="W245" s="103" t="str">
        <f t="shared" si="115"/>
        <v/>
      </c>
      <c r="X245" s="103" t="str">
        <f t="shared" si="116"/>
        <v/>
      </c>
      <c r="Y245" s="100" t="str">
        <f t="shared" si="117"/>
        <v/>
      </c>
      <c r="Z245" s="100" t="str">
        <f t="shared" si="118"/>
        <v/>
      </c>
      <c r="AA245" s="100" t="e">
        <f t="shared" si="119"/>
        <v>#VALUE!</v>
      </c>
      <c r="AB245" s="100" t="e">
        <f t="shared" si="120"/>
        <v>#VALUE!</v>
      </c>
      <c r="AC245" s="100" t="e">
        <f t="shared" si="121"/>
        <v>#VALUE!</v>
      </c>
      <c r="AD245" s="100" t="e">
        <f t="shared" si="122"/>
        <v>#VALUE!</v>
      </c>
      <c r="AE245" s="8" t="str">
        <f t="shared" si="95"/>
        <v/>
      </c>
      <c r="AF245" s="8" t="str">
        <f t="shared" si="96"/>
        <v/>
      </c>
      <c r="AG245" s="7" t="str">
        <f t="shared" si="123"/>
        <v>Good</v>
      </c>
      <c r="AI245" s="100">
        <f t="shared" si="124"/>
        <v>28.983678883</v>
      </c>
      <c r="AJ245" s="100">
        <f t="shared" si="125"/>
        <v>47.740289398999998</v>
      </c>
    </row>
    <row r="246" spans="1:36" x14ac:dyDescent="0.2">
      <c r="A246" s="8">
        <v>23.164000000000001</v>
      </c>
      <c r="B246" s="100">
        <v>28.983683342999999</v>
      </c>
      <c r="C246" s="100">
        <v>47.740272505999997</v>
      </c>
      <c r="D246" s="101">
        <v>23163.844045247795</v>
      </c>
      <c r="E246" s="42" t="str">
        <f t="shared" si="97"/>
        <v/>
      </c>
      <c r="F246" s="7" t="str">
        <f t="shared" si="98"/>
        <v/>
      </c>
      <c r="G246" s="100" t="str">
        <f t="shared" si="99"/>
        <v/>
      </c>
      <c r="H246" s="100" t="str">
        <f t="shared" si="100"/>
        <v/>
      </c>
      <c r="I246" s="100" t="str">
        <f t="shared" si="101"/>
        <v/>
      </c>
      <c r="J246" s="100" t="str">
        <f t="shared" si="102"/>
        <v/>
      </c>
      <c r="K246" s="102" t="str">
        <f t="shared" si="103"/>
        <v/>
      </c>
      <c r="L246" s="103" t="str">
        <f t="shared" si="104"/>
        <v/>
      </c>
      <c r="M246" s="103" t="str">
        <f t="shared" si="105"/>
        <v/>
      </c>
      <c r="N246" s="103" t="str">
        <f t="shared" si="106"/>
        <v/>
      </c>
      <c r="O246" s="103" t="str">
        <f t="shared" si="107"/>
        <v/>
      </c>
      <c r="P246" s="105" t="str">
        <f t="shared" si="108"/>
        <v/>
      </c>
      <c r="Q246" s="105" t="str">
        <f t="shared" si="109"/>
        <v/>
      </c>
      <c r="R246" s="104" t="str">
        <f t="shared" si="110"/>
        <v/>
      </c>
      <c r="S246" s="104" t="str">
        <f t="shared" si="111"/>
        <v/>
      </c>
      <c r="T246" s="105" t="str">
        <f t="shared" si="112"/>
        <v/>
      </c>
      <c r="U246" s="14" t="str">
        <f t="shared" si="113"/>
        <v/>
      </c>
      <c r="V246" s="14" t="str">
        <f t="shared" si="114"/>
        <v/>
      </c>
      <c r="W246" s="103" t="str">
        <f t="shared" si="115"/>
        <v/>
      </c>
      <c r="X246" s="103" t="str">
        <f t="shared" si="116"/>
        <v/>
      </c>
      <c r="Y246" s="100" t="str">
        <f t="shared" si="117"/>
        <v/>
      </c>
      <c r="Z246" s="100" t="str">
        <f t="shared" si="118"/>
        <v/>
      </c>
      <c r="AA246" s="100" t="e">
        <f t="shared" si="119"/>
        <v>#VALUE!</v>
      </c>
      <c r="AB246" s="100" t="e">
        <f t="shared" si="120"/>
        <v>#VALUE!</v>
      </c>
      <c r="AC246" s="100" t="e">
        <f t="shared" si="121"/>
        <v>#VALUE!</v>
      </c>
      <c r="AD246" s="100" t="e">
        <f t="shared" si="122"/>
        <v>#VALUE!</v>
      </c>
      <c r="AE246" s="8" t="str">
        <f t="shared" si="95"/>
        <v/>
      </c>
      <c r="AF246" s="8" t="str">
        <f t="shared" si="96"/>
        <v/>
      </c>
      <c r="AG246" s="7" t="str">
        <f t="shared" si="123"/>
        <v>Good</v>
      </c>
      <c r="AI246" s="100">
        <f t="shared" si="124"/>
        <v>28.983683342999999</v>
      </c>
      <c r="AJ246" s="100">
        <f t="shared" si="125"/>
        <v>47.740272505999997</v>
      </c>
    </row>
    <row r="247" spans="1:36" x14ac:dyDescent="0.2">
      <c r="A247" s="8">
        <v>23.167999999999999</v>
      </c>
      <c r="B247" s="100">
        <v>28.983673639999999</v>
      </c>
      <c r="C247" s="100">
        <v>47.740234473000001</v>
      </c>
      <c r="D247" s="101">
        <v>23167.694222597565</v>
      </c>
      <c r="E247" s="42" t="str">
        <f t="shared" si="97"/>
        <v/>
      </c>
      <c r="F247" s="7" t="str">
        <f t="shared" si="98"/>
        <v/>
      </c>
      <c r="G247" s="100" t="str">
        <f t="shared" si="99"/>
        <v/>
      </c>
      <c r="H247" s="100" t="str">
        <f t="shared" si="100"/>
        <v/>
      </c>
      <c r="I247" s="100" t="str">
        <f t="shared" si="101"/>
        <v/>
      </c>
      <c r="J247" s="100" t="str">
        <f t="shared" si="102"/>
        <v/>
      </c>
      <c r="K247" s="102" t="str">
        <f t="shared" si="103"/>
        <v/>
      </c>
      <c r="L247" s="103" t="str">
        <f t="shared" si="104"/>
        <v/>
      </c>
      <c r="M247" s="103" t="str">
        <f t="shared" si="105"/>
        <v/>
      </c>
      <c r="N247" s="103" t="str">
        <f t="shared" si="106"/>
        <v/>
      </c>
      <c r="O247" s="103" t="str">
        <f t="shared" si="107"/>
        <v/>
      </c>
      <c r="P247" s="105" t="str">
        <f t="shared" si="108"/>
        <v/>
      </c>
      <c r="Q247" s="105" t="str">
        <f t="shared" si="109"/>
        <v/>
      </c>
      <c r="R247" s="104" t="str">
        <f t="shared" si="110"/>
        <v/>
      </c>
      <c r="S247" s="104" t="str">
        <f t="shared" si="111"/>
        <v/>
      </c>
      <c r="T247" s="105" t="str">
        <f t="shared" si="112"/>
        <v/>
      </c>
      <c r="U247" s="14" t="str">
        <f t="shared" si="113"/>
        <v/>
      </c>
      <c r="V247" s="14" t="str">
        <f t="shared" si="114"/>
        <v/>
      </c>
      <c r="W247" s="103" t="str">
        <f t="shared" si="115"/>
        <v/>
      </c>
      <c r="X247" s="103" t="str">
        <f t="shared" si="116"/>
        <v/>
      </c>
      <c r="Y247" s="100" t="str">
        <f t="shared" si="117"/>
        <v/>
      </c>
      <c r="Z247" s="100" t="str">
        <f t="shared" si="118"/>
        <v/>
      </c>
      <c r="AA247" s="100" t="e">
        <f t="shared" si="119"/>
        <v>#VALUE!</v>
      </c>
      <c r="AB247" s="100" t="e">
        <f t="shared" si="120"/>
        <v>#VALUE!</v>
      </c>
      <c r="AC247" s="100" t="e">
        <f t="shared" si="121"/>
        <v>#VALUE!</v>
      </c>
      <c r="AD247" s="100" t="e">
        <f t="shared" si="122"/>
        <v>#VALUE!</v>
      </c>
      <c r="AE247" s="8" t="str">
        <f t="shared" si="95"/>
        <v/>
      </c>
      <c r="AF247" s="8" t="str">
        <f t="shared" si="96"/>
        <v/>
      </c>
      <c r="AG247" s="7" t="str">
        <f t="shared" si="123"/>
        <v>Good</v>
      </c>
      <c r="AI247" s="100">
        <f t="shared" si="124"/>
        <v>28.983673639999999</v>
      </c>
      <c r="AJ247" s="100">
        <f t="shared" si="125"/>
        <v>47.740234473000001</v>
      </c>
    </row>
    <row r="248" spans="1:36" x14ac:dyDescent="0.2">
      <c r="A248" s="8">
        <v>23.183</v>
      </c>
      <c r="B248" s="100">
        <v>28.983725312000001</v>
      </c>
      <c r="C248" s="100">
        <v>47.740090658</v>
      </c>
      <c r="D248" s="101">
        <v>23182.806745107715</v>
      </c>
      <c r="E248" s="42" t="str">
        <f t="shared" si="97"/>
        <v/>
      </c>
      <c r="F248" s="7" t="str">
        <f t="shared" si="98"/>
        <v/>
      </c>
      <c r="G248" s="100" t="str">
        <f t="shared" si="99"/>
        <v/>
      </c>
      <c r="H248" s="100" t="str">
        <f t="shared" si="100"/>
        <v/>
      </c>
      <c r="I248" s="100" t="str">
        <f t="shared" si="101"/>
        <v/>
      </c>
      <c r="J248" s="100" t="str">
        <f t="shared" si="102"/>
        <v/>
      </c>
      <c r="K248" s="102" t="str">
        <f t="shared" si="103"/>
        <v/>
      </c>
      <c r="L248" s="103" t="str">
        <f t="shared" si="104"/>
        <v/>
      </c>
      <c r="M248" s="103" t="str">
        <f t="shared" si="105"/>
        <v/>
      </c>
      <c r="N248" s="103" t="str">
        <f t="shared" si="106"/>
        <v/>
      </c>
      <c r="O248" s="103" t="str">
        <f t="shared" si="107"/>
        <v/>
      </c>
      <c r="P248" s="105" t="str">
        <f t="shared" si="108"/>
        <v/>
      </c>
      <c r="Q248" s="105" t="str">
        <f t="shared" si="109"/>
        <v/>
      </c>
      <c r="R248" s="104" t="str">
        <f t="shared" si="110"/>
        <v/>
      </c>
      <c r="S248" s="104" t="str">
        <f t="shared" si="111"/>
        <v/>
      </c>
      <c r="T248" s="105" t="str">
        <f t="shared" si="112"/>
        <v/>
      </c>
      <c r="U248" s="14" t="str">
        <f t="shared" si="113"/>
        <v/>
      </c>
      <c r="V248" s="14" t="str">
        <f t="shared" si="114"/>
        <v/>
      </c>
      <c r="W248" s="103" t="str">
        <f t="shared" si="115"/>
        <v/>
      </c>
      <c r="X248" s="103" t="str">
        <f t="shared" si="116"/>
        <v/>
      </c>
      <c r="Y248" s="100" t="str">
        <f t="shared" si="117"/>
        <v/>
      </c>
      <c r="Z248" s="100" t="str">
        <f t="shared" si="118"/>
        <v/>
      </c>
      <c r="AA248" s="100" t="e">
        <f t="shared" si="119"/>
        <v>#VALUE!</v>
      </c>
      <c r="AB248" s="100" t="e">
        <f t="shared" si="120"/>
        <v>#VALUE!</v>
      </c>
      <c r="AC248" s="100" t="e">
        <f t="shared" si="121"/>
        <v>#VALUE!</v>
      </c>
      <c r="AD248" s="100" t="e">
        <f t="shared" si="122"/>
        <v>#VALUE!</v>
      </c>
      <c r="AE248" s="8" t="str">
        <f t="shared" si="95"/>
        <v/>
      </c>
      <c r="AF248" s="8" t="str">
        <f t="shared" si="96"/>
        <v/>
      </c>
      <c r="AG248" s="7" t="str">
        <f t="shared" si="123"/>
        <v>Good</v>
      </c>
      <c r="AI248" s="100">
        <f t="shared" si="124"/>
        <v>28.983725312000001</v>
      </c>
      <c r="AJ248" s="100">
        <f t="shared" si="125"/>
        <v>47.740090658</v>
      </c>
    </row>
    <row r="249" spans="1:36" x14ac:dyDescent="0.2">
      <c r="A249" s="8">
        <v>23.184999999999999</v>
      </c>
      <c r="B249" s="100">
        <v>28.983740754999999</v>
      </c>
      <c r="C249" s="100">
        <v>47.740086781000002</v>
      </c>
      <c r="D249" s="101">
        <v>23184.563782464265</v>
      </c>
      <c r="E249" s="42" t="str">
        <f t="shared" si="97"/>
        <v/>
      </c>
      <c r="F249" s="7" t="str">
        <f t="shared" si="98"/>
        <v/>
      </c>
      <c r="G249" s="100" t="str">
        <f t="shared" si="99"/>
        <v/>
      </c>
      <c r="H249" s="100" t="str">
        <f t="shared" si="100"/>
        <v/>
      </c>
      <c r="I249" s="100" t="str">
        <f t="shared" si="101"/>
        <v/>
      </c>
      <c r="J249" s="100" t="str">
        <f t="shared" si="102"/>
        <v/>
      </c>
      <c r="K249" s="102" t="str">
        <f t="shared" si="103"/>
        <v/>
      </c>
      <c r="L249" s="103" t="str">
        <f t="shared" si="104"/>
        <v/>
      </c>
      <c r="M249" s="103" t="str">
        <f t="shared" si="105"/>
        <v/>
      </c>
      <c r="N249" s="103" t="str">
        <f t="shared" si="106"/>
        <v/>
      </c>
      <c r="O249" s="103" t="str">
        <f t="shared" si="107"/>
        <v/>
      </c>
      <c r="P249" s="105" t="str">
        <f t="shared" si="108"/>
        <v/>
      </c>
      <c r="Q249" s="105" t="str">
        <f t="shared" si="109"/>
        <v/>
      </c>
      <c r="R249" s="104" t="str">
        <f t="shared" si="110"/>
        <v/>
      </c>
      <c r="S249" s="104" t="str">
        <f t="shared" si="111"/>
        <v/>
      </c>
      <c r="T249" s="105" t="str">
        <f t="shared" si="112"/>
        <v/>
      </c>
      <c r="U249" s="14" t="str">
        <f t="shared" si="113"/>
        <v/>
      </c>
      <c r="V249" s="14" t="str">
        <f t="shared" si="114"/>
        <v/>
      </c>
      <c r="W249" s="103" t="str">
        <f t="shared" si="115"/>
        <v/>
      </c>
      <c r="X249" s="103" t="str">
        <f t="shared" si="116"/>
        <v/>
      </c>
      <c r="Y249" s="100" t="str">
        <f t="shared" si="117"/>
        <v/>
      </c>
      <c r="Z249" s="100" t="str">
        <f t="shared" si="118"/>
        <v/>
      </c>
      <c r="AA249" s="100" t="e">
        <f t="shared" si="119"/>
        <v>#VALUE!</v>
      </c>
      <c r="AB249" s="100" t="e">
        <f t="shared" si="120"/>
        <v>#VALUE!</v>
      </c>
      <c r="AC249" s="100" t="e">
        <f t="shared" si="121"/>
        <v>#VALUE!</v>
      </c>
      <c r="AD249" s="100" t="e">
        <f t="shared" si="122"/>
        <v>#VALUE!</v>
      </c>
      <c r="AE249" s="8" t="str">
        <f t="shared" si="95"/>
        <v/>
      </c>
      <c r="AF249" s="8" t="str">
        <f t="shared" si="96"/>
        <v/>
      </c>
      <c r="AG249" s="7" t="str">
        <f t="shared" si="123"/>
        <v>Good</v>
      </c>
      <c r="AI249" s="100">
        <f t="shared" si="124"/>
        <v>28.983740754999999</v>
      </c>
      <c r="AJ249" s="100">
        <f t="shared" si="125"/>
        <v>47.740086781000002</v>
      </c>
    </row>
    <row r="250" spans="1:36" x14ac:dyDescent="0.2">
      <c r="A250" s="8">
        <v>23.271999999999998</v>
      </c>
      <c r="B250" s="100">
        <v>28.983938798000001</v>
      </c>
      <c r="C250" s="100">
        <v>47.739218741000002</v>
      </c>
      <c r="D250" s="101">
        <v>23271.762194182178</v>
      </c>
      <c r="E250" s="42" t="str">
        <f t="shared" si="97"/>
        <v/>
      </c>
      <c r="F250" s="7" t="str">
        <f t="shared" si="98"/>
        <v/>
      </c>
      <c r="G250" s="100" t="str">
        <f t="shared" si="99"/>
        <v/>
      </c>
      <c r="H250" s="100" t="str">
        <f t="shared" si="100"/>
        <v/>
      </c>
      <c r="I250" s="100" t="str">
        <f t="shared" si="101"/>
        <v/>
      </c>
      <c r="J250" s="100" t="str">
        <f t="shared" si="102"/>
        <v/>
      </c>
      <c r="K250" s="102" t="str">
        <f t="shared" si="103"/>
        <v/>
      </c>
      <c r="L250" s="103" t="str">
        <f t="shared" si="104"/>
        <v/>
      </c>
      <c r="M250" s="103" t="str">
        <f t="shared" si="105"/>
        <v/>
      </c>
      <c r="N250" s="103" t="str">
        <f t="shared" si="106"/>
        <v/>
      </c>
      <c r="O250" s="103" t="str">
        <f t="shared" si="107"/>
        <v/>
      </c>
      <c r="P250" s="105" t="str">
        <f t="shared" si="108"/>
        <v/>
      </c>
      <c r="Q250" s="105" t="str">
        <f t="shared" si="109"/>
        <v/>
      </c>
      <c r="R250" s="104" t="str">
        <f t="shared" si="110"/>
        <v/>
      </c>
      <c r="S250" s="104" t="str">
        <f t="shared" si="111"/>
        <v/>
      </c>
      <c r="T250" s="105" t="str">
        <f t="shared" si="112"/>
        <v/>
      </c>
      <c r="U250" s="14" t="str">
        <f t="shared" si="113"/>
        <v/>
      </c>
      <c r="V250" s="14" t="str">
        <f t="shared" si="114"/>
        <v/>
      </c>
      <c r="W250" s="103" t="str">
        <f t="shared" si="115"/>
        <v/>
      </c>
      <c r="X250" s="103" t="str">
        <f t="shared" si="116"/>
        <v/>
      </c>
      <c r="Y250" s="100" t="str">
        <f t="shared" si="117"/>
        <v/>
      </c>
      <c r="Z250" s="100" t="str">
        <f t="shared" si="118"/>
        <v/>
      </c>
      <c r="AA250" s="100" t="e">
        <f t="shared" si="119"/>
        <v>#VALUE!</v>
      </c>
      <c r="AB250" s="100" t="e">
        <f t="shared" si="120"/>
        <v>#VALUE!</v>
      </c>
      <c r="AC250" s="100" t="e">
        <f t="shared" si="121"/>
        <v>#VALUE!</v>
      </c>
      <c r="AD250" s="100" t="e">
        <f t="shared" si="122"/>
        <v>#VALUE!</v>
      </c>
      <c r="AE250" s="8" t="str">
        <f t="shared" si="95"/>
        <v/>
      </c>
      <c r="AF250" s="8" t="str">
        <f t="shared" si="96"/>
        <v/>
      </c>
      <c r="AG250" s="7" t="str">
        <f t="shared" si="123"/>
        <v>Good</v>
      </c>
      <c r="AI250" s="100">
        <f t="shared" si="124"/>
        <v>28.983938798000001</v>
      </c>
      <c r="AJ250" s="100">
        <f t="shared" si="125"/>
        <v>47.739218741000002</v>
      </c>
    </row>
    <row r="251" spans="1:36" x14ac:dyDescent="0.2">
      <c r="A251" s="8">
        <v>24.044</v>
      </c>
      <c r="D251" s="101">
        <v>24044</v>
      </c>
      <c r="E251" s="42">
        <f t="shared" si="97"/>
        <v>772.23780581782194</v>
      </c>
      <c r="F251" s="7">
        <f t="shared" si="98"/>
        <v>1</v>
      </c>
      <c r="G251" s="100">
        <f t="shared" si="99"/>
        <v>28.983938798000001</v>
      </c>
      <c r="H251" s="100">
        <f t="shared" si="100"/>
        <v>47.739218741000002</v>
      </c>
      <c r="I251" s="100">
        <f t="shared" si="101"/>
        <v>28.98590076</v>
      </c>
      <c r="J251" s="100">
        <f t="shared" si="102"/>
        <v>47.731587320999999</v>
      </c>
      <c r="K251" s="102">
        <f t="shared" si="103"/>
        <v>38</v>
      </c>
      <c r="L251" s="103">
        <f t="shared" si="104"/>
        <v>3209299.1631369786</v>
      </c>
      <c r="M251" s="103">
        <f t="shared" si="105"/>
        <v>766895.26724091673</v>
      </c>
      <c r="N251" s="103">
        <f t="shared" si="106"/>
        <v>3209499.4413401908</v>
      </c>
      <c r="O251" s="103">
        <f t="shared" si="107"/>
        <v>766146.37127377372</v>
      </c>
      <c r="P251" s="105">
        <f t="shared" si="108"/>
        <v>200.27820321219042</v>
      </c>
      <c r="Q251" s="105">
        <f t="shared" si="109"/>
        <v>-748.89596714300569</v>
      </c>
      <c r="R251" s="104">
        <f t="shared" si="110"/>
        <v>775.21385970902338</v>
      </c>
      <c r="S251" s="104" t="str">
        <f t="shared" si="111"/>
        <v>NW</v>
      </c>
      <c r="T251" s="105">
        <f t="shared" si="112"/>
        <v>0.2613161015658752</v>
      </c>
      <c r="U251" s="14">
        <f t="shared" si="113"/>
        <v>-746.02094790901322</v>
      </c>
      <c r="V251" s="14">
        <f t="shared" si="114"/>
        <v>199.50933315326733</v>
      </c>
      <c r="W251" s="103">
        <f t="shared" si="115"/>
        <v>3209498.6724701319</v>
      </c>
      <c r="X251" s="103">
        <f t="shared" si="116"/>
        <v>766149.24629300775</v>
      </c>
      <c r="Y251" s="100">
        <f t="shared" si="117"/>
        <v>28.985893202473346</v>
      </c>
      <c r="Z251" s="100">
        <f t="shared" si="118"/>
        <v>47.731616619419476</v>
      </c>
      <c r="AA251" s="100">
        <f t="shared" si="119"/>
        <v>-1.9544044733450505E-3</v>
      </c>
      <c r="AB251" s="100">
        <f t="shared" si="120"/>
        <v>-7.5575266542671216E-6</v>
      </c>
      <c r="AC251" s="100">
        <f t="shared" si="121"/>
        <v>7.6021215805255338E-3</v>
      </c>
      <c r="AD251" s="100">
        <f t="shared" si="122"/>
        <v>2.9298419477186144E-5</v>
      </c>
      <c r="AE251" s="8" t="str">
        <f t="shared" si="95"/>
        <v>Good</v>
      </c>
      <c r="AF251" s="8" t="str">
        <f t="shared" si="96"/>
        <v>Good</v>
      </c>
      <c r="AG251" s="7" t="str">
        <f t="shared" si="123"/>
        <v>Good</v>
      </c>
      <c r="AI251" s="100">
        <f t="shared" si="124"/>
        <v>28.985893202473346</v>
      </c>
      <c r="AJ251" s="100">
        <f t="shared" si="125"/>
        <v>47.731616619419476</v>
      </c>
    </row>
    <row r="252" spans="1:36" x14ac:dyDescent="0.2">
      <c r="A252" s="8">
        <v>24.045000000000002</v>
      </c>
      <c r="B252" s="100">
        <v>28.98590076</v>
      </c>
      <c r="C252" s="100">
        <v>47.731587320999999</v>
      </c>
      <c r="D252" s="101">
        <v>24044.922789153909</v>
      </c>
      <c r="E252" s="42" t="str">
        <f t="shared" si="97"/>
        <v/>
      </c>
      <c r="F252" s="7" t="str">
        <f t="shared" si="98"/>
        <v/>
      </c>
      <c r="G252" s="100" t="str">
        <f t="shared" si="99"/>
        <v/>
      </c>
      <c r="H252" s="100" t="str">
        <f t="shared" si="100"/>
        <v/>
      </c>
      <c r="I252" s="100" t="str">
        <f t="shared" si="101"/>
        <v/>
      </c>
      <c r="J252" s="100" t="str">
        <f t="shared" si="102"/>
        <v/>
      </c>
      <c r="K252" s="102" t="str">
        <f t="shared" si="103"/>
        <v/>
      </c>
      <c r="L252" s="103" t="str">
        <f t="shared" si="104"/>
        <v/>
      </c>
      <c r="M252" s="103" t="str">
        <f t="shared" si="105"/>
        <v/>
      </c>
      <c r="N252" s="103" t="str">
        <f t="shared" si="106"/>
        <v/>
      </c>
      <c r="O252" s="103" t="str">
        <f t="shared" si="107"/>
        <v/>
      </c>
      <c r="P252" s="105" t="str">
        <f t="shared" si="108"/>
        <v/>
      </c>
      <c r="Q252" s="105" t="str">
        <f t="shared" si="109"/>
        <v/>
      </c>
      <c r="R252" s="104" t="str">
        <f t="shared" si="110"/>
        <v/>
      </c>
      <c r="S252" s="104" t="str">
        <f t="shared" si="111"/>
        <v/>
      </c>
      <c r="T252" s="105" t="str">
        <f t="shared" si="112"/>
        <v/>
      </c>
      <c r="U252" s="14" t="str">
        <f t="shared" si="113"/>
        <v/>
      </c>
      <c r="V252" s="14" t="str">
        <f t="shared" si="114"/>
        <v/>
      </c>
      <c r="W252" s="103" t="str">
        <f t="shared" si="115"/>
        <v/>
      </c>
      <c r="X252" s="103" t="str">
        <f t="shared" si="116"/>
        <v/>
      </c>
      <c r="Y252" s="100" t="str">
        <f t="shared" si="117"/>
        <v/>
      </c>
      <c r="Z252" s="100" t="str">
        <f t="shared" si="118"/>
        <v/>
      </c>
      <c r="AA252" s="100" t="e">
        <f t="shared" si="119"/>
        <v>#VALUE!</v>
      </c>
      <c r="AB252" s="100" t="e">
        <f t="shared" si="120"/>
        <v>#VALUE!</v>
      </c>
      <c r="AC252" s="100" t="e">
        <f t="shared" si="121"/>
        <v>#VALUE!</v>
      </c>
      <c r="AD252" s="100" t="e">
        <f t="shared" si="122"/>
        <v>#VALUE!</v>
      </c>
      <c r="AE252" s="8" t="str">
        <f t="shared" si="95"/>
        <v/>
      </c>
      <c r="AF252" s="8" t="str">
        <f t="shared" si="96"/>
        <v/>
      </c>
      <c r="AG252" s="7" t="str">
        <f t="shared" si="123"/>
        <v>Good</v>
      </c>
      <c r="AI252" s="100">
        <f t="shared" si="124"/>
        <v>28.98590076</v>
      </c>
      <c r="AJ252" s="100">
        <f t="shared" si="125"/>
        <v>47.731587320999999</v>
      </c>
    </row>
    <row r="253" spans="1:36" x14ac:dyDescent="0.2">
      <c r="A253" s="8">
        <v>24.879000000000001</v>
      </c>
      <c r="B253" s="100">
        <v>28.988043210000001</v>
      </c>
      <c r="C253" s="100">
        <v>47.723367191999998</v>
      </c>
      <c r="D253" s="101">
        <v>24878.630690738177</v>
      </c>
      <c r="E253" s="42" t="str">
        <f t="shared" si="97"/>
        <v/>
      </c>
      <c r="F253" s="7" t="str">
        <f t="shared" si="98"/>
        <v/>
      </c>
      <c r="G253" s="100" t="str">
        <f t="shared" si="99"/>
        <v/>
      </c>
      <c r="H253" s="100" t="str">
        <f t="shared" si="100"/>
        <v/>
      </c>
      <c r="I253" s="100" t="str">
        <f t="shared" si="101"/>
        <v/>
      </c>
      <c r="J253" s="100" t="str">
        <f t="shared" si="102"/>
        <v/>
      </c>
      <c r="K253" s="102" t="str">
        <f t="shared" si="103"/>
        <v/>
      </c>
      <c r="L253" s="103" t="str">
        <f t="shared" si="104"/>
        <v/>
      </c>
      <c r="M253" s="103" t="str">
        <f t="shared" si="105"/>
        <v/>
      </c>
      <c r="N253" s="103" t="str">
        <f t="shared" si="106"/>
        <v/>
      </c>
      <c r="O253" s="103" t="str">
        <f t="shared" si="107"/>
        <v/>
      </c>
      <c r="P253" s="105" t="str">
        <f t="shared" si="108"/>
        <v/>
      </c>
      <c r="Q253" s="105" t="str">
        <f t="shared" si="109"/>
        <v/>
      </c>
      <c r="R253" s="104" t="str">
        <f t="shared" si="110"/>
        <v/>
      </c>
      <c r="S253" s="104" t="str">
        <f t="shared" si="111"/>
        <v/>
      </c>
      <c r="T253" s="105" t="str">
        <f t="shared" si="112"/>
        <v/>
      </c>
      <c r="U253" s="14" t="str">
        <f t="shared" si="113"/>
        <v/>
      </c>
      <c r="V253" s="14" t="str">
        <f t="shared" si="114"/>
        <v/>
      </c>
      <c r="W253" s="103" t="str">
        <f t="shared" si="115"/>
        <v/>
      </c>
      <c r="X253" s="103" t="str">
        <f t="shared" si="116"/>
        <v/>
      </c>
      <c r="Y253" s="100" t="str">
        <f t="shared" si="117"/>
        <v/>
      </c>
      <c r="Z253" s="100" t="str">
        <f t="shared" si="118"/>
        <v/>
      </c>
      <c r="AA253" s="100" t="e">
        <f t="shared" si="119"/>
        <v>#VALUE!</v>
      </c>
      <c r="AB253" s="100" t="e">
        <f t="shared" si="120"/>
        <v>#VALUE!</v>
      </c>
      <c r="AC253" s="100" t="e">
        <f t="shared" si="121"/>
        <v>#VALUE!</v>
      </c>
      <c r="AD253" s="100" t="e">
        <f t="shared" si="122"/>
        <v>#VALUE!</v>
      </c>
      <c r="AE253" s="8" t="str">
        <f t="shared" si="95"/>
        <v/>
      </c>
      <c r="AF253" s="8" t="str">
        <f t="shared" si="96"/>
        <v/>
      </c>
      <c r="AG253" s="7" t="str">
        <f t="shared" si="123"/>
        <v>Good</v>
      </c>
      <c r="AI253" s="100">
        <f t="shared" si="124"/>
        <v>28.988043210000001</v>
      </c>
      <c r="AJ253" s="100">
        <f t="shared" si="125"/>
        <v>47.723367191999998</v>
      </c>
    </row>
    <row r="254" spans="1:36" x14ac:dyDescent="0.2">
      <c r="A254" s="8">
        <v>25.033000000000001</v>
      </c>
      <c r="D254" s="101">
        <v>25033</v>
      </c>
      <c r="E254" s="42">
        <f t="shared" si="97"/>
        <v>154.36930926182322</v>
      </c>
      <c r="F254" s="7">
        <f t="shared" si="98"/>
        <v>1</v>
      </c>
      <c r="G254" s="100">
        <f t="shared" si="99"/>
        <v>28.988043210000001</v>
      </c>
      <c r="H254" s="100">
        <f t="shared" si="100"/>
        <v>47.723367191999998</v>
      </c>
      <c r="I254" s="100">
        <f t="shared" si="101"/>
        <v>28.990096336000001</v>
      </c>
      <c r="J254" s="100">
        <f t="shared" si="102"/>
        <v>47.715377564999997</v>
      </c>
      <c r="K254" s="102">
        <f t="shared" si="103"/>
        <v>38</v>
      </c>
      <c r="L254" s="103">
        <f t="shared" si="104"/>
        <v>3209718.4519150243</v>
      </c>
      <c r="M254" s="103">
        <f t="shared" si="105"/>
        <v>765339.66291564202</v>
      </c>
      <c r="N254" s="103">
        <f t="shared" si="106"/>
        <v>3209928.1308716983</v>
      </c>
      <c r="O254" s="103">
        <f t="shared" si="107"/>
        <v>764555.6843302307</v>
      </c>
      <c r="P254" s="105">
        <f t="shared" si="108"/>
        <v>209.67895667394623</v>
      </c>
      <c r="Q254" s="105">
        <f t="shared" si="109"/>
        <v>-783.97858541132882</v>
      </c>
      <c r="R254" s="104">
        <f t="shared" si="110"/>
        <v>811.53415655499236</v>
      </c>
      <c r="S254" s="104" t="str">
        <f t="shared" si="111"/>
        <v>NW</v>
      </c>
      <c r="T254" s="105">
        <f t="shared" si="112"/>
        <v>0.26133820032291288</v>
      </c>
      <c r="U254" s="14">
        <f t="shared" si="113"/>
        <v>-149.12771289843698</v>
      </c>
      <c r="V254" s="14">
        <f t="shared" si="114"/>
        <v>39.884945626812282</v>
      </c>
      <c r="W254" s="103">
        <f t="shared" si="115"/>
        <v>3209758.3368606512</v>
      </c>
      <c r="X254" s="103">
        <f t="shared" si="116"/>
        <v>765190.5352027436</v>
      </c>
      <c r="Y254" s="100">
        <f t="shared" si="117"/>
        <v>28.988433762365901</v>
      </c>
      <c r="Z254" s="100">
        <f t="shared" si="118"/>
        <v>47.721847440105535</v>
      </c>
      <c r="AA254" s="100">
        <f t="shared" si="119"/>
        <v>-3.9055236590002096E-4</v>
      </c>
      <c r="AB254" s="100">
        <f t="shared" si="120"/>
        <v>-1.6625736340998287E-3</v>
      </c>
      <c r="AC254" s="100">
        <f t="shared" si="121"/>
        <v>1.5197518944631838E-3</v>
      </c>
      <c r="AD254" s="100">
        <f t="shared" si="122"/>
        <v>6.469875105537426E-3</v>
      </c>
      <c r="AE254" s="8" t="str">
        <f t="shared" si="95"/>
        <v>Good</v>
      </c>
      <c r="AF254" s="8" t="str">
        <f t="shared" si="96"/>
        <v>Good</v>
      </c>
      <c r="AG254" s="7" t="str">
        <f t="shared" si="123"/>
        <v>Good</v>
      </c>
      <c r="AI254" s="100">
        <f t="shared" si="124"/>
        <v>28.988433762365901</v>
      </c>
      <c r="AJ254" s="100">
        <f t="shared" si="125"/>
        <v>47.721847440105535</v>
      </c>
    </row>
    <row r="255" spans="1:36" x14ac:dyDescent="0.2">
      <c r="A255" s="8">
        <v>25.687999999999999</v>
      </c>
      <c r="B255" s="100">
        <v>28.990096336000001</v>
      </c>
      <c r="C255" s="100">
        <v>47.715377564999997</v>
      </c>
      <c r="D255" s="101">
        <v>25688.023294515693</v>
      </c>
      <c r="E255" s="42" t="str">
        <f t="shared" si="97"/>
        <v/>
      </c>
      <c r="F255" s="7" t="str">
        <f t="shared" si="98"/>
        <v/>
      </c>
      <c r="G255" s="100" t="str">
        <f t="shared" si="99"/>
        <v/>
      </c>
      <c r="H255" s="100" t="str">
        <f t="shared" si="100"/>
        <v/>
      </c>
      <c r="I255" s="100" t="str">
        <f t="shared" si="101"/>
        <v/>
      </c>
      <c r="J255" s="100" t="str">
        <f t="shared" si="102"/>
        <v/>
      </c>
      <c r="K255" s="102" t="str">
        <f t="shared" si="103"/>
        <v/>
      </c>
      <c r="L255" s="103" t="str">
        <f t="shared" si="104"/>
        <v/>
      </c>
      <c r="M255" s="103" t="str">
        <f t="shared" si="105"/>
        <v/>
      </c>
      <c r="N255" s="103" t="str">
        <f t="shared" si="106"/>
        <v/>
      </c>
      <c r="O255" s="103" t="str">
        <f t="shared" si="107"/>
        <v/>
      </c>
      <c r="P255" s="105" t="str">
        <f t="shared" si="108"/>
        <v/>
      </c>
      <c r="Q255" s="105" t="str">
        <f t="shared" si="109"/>
        <v/>
      </c>
      <c r="R255" s="104" t="str">
        <f t="shared" si="110"/>
        <v/>
      </c>
      <c r="S255" s="104" t="str">
        <f t="shared" si="111"/>
        <v/>
      </c>
      <c r="T255" s="105" t="str">
        <f t="shared" si="112"/>
        <v/>
      </c>
      <c r="U255" s="14" t="str">
        <f t="shared" si="113"/>
        <v/>
      </c>
      <c r="V255" s="14" t="str">
        <f t="shared" si="114"/>
        <v/>
      </c>
      <c r="W255" s="103" t="str">
        <f t="shared" si="115"/>
        <v/>
      </c>
      <c r="X255" s="103" t="str">
        <f t="shared" si="116"/>
        <v/>
      </c>
      <c r="Y255" s="100" t="str">
        <f t="shared" si="117"/>
        <v/>
      </c>
      <c r="Z255" s="100" t="str">
        <f t="shared" si="118"/>
        <v/>
      </c>
      <c r="AA255" s="100" t="e">
        <f t="shared" si="119"/>
        <v>#VALUE!</v>
      </c>
      <c r="AB255" s="100" t="e">
        <f t="shared" si="120"/>
        <v>#VALUE!</v>
      </c>
      <c r="AC255" s="100" t="e">
        <f t="shared" si="121"/>
        <v>#VALUE!</v>
      </c>
      <c r="AD255" s="100" t="e">
        <f t="shared" si="122"/>
        <v>#VALUE!</v>
      </c>
      <c r="AE255" s="8" t="str">
        <f t="shared" si="95"/>
        <v/>
      </c>
      <c r="AF255" s="8" t="str">
        <f t="shared" si="96"/>
        <v/>
      </c>
      <c r="AG255" s="7" t="str">
        <f t="shared" si="123"/>
        <v>Good</v>
      </c>
      <c r="AI255" s="100">
        <f t="shared" si="124"/>
        <v>28.990096336000001</v>
      </c>
      <c r="AJ255" s="100">
        <f t="shared" si="125"/>
        <v>47.715377564999997</v>
      </c>
    </row>
    <row r="256" spans="1:36" x14ac:dyDescent="0.2">
      <c r="A256" s="8">
        <v>26.164000000000001</v>
      </c>
      <c r="D256" s="101">
        <v>26164</v>
      </c>
      <c r="E256" s="42">
        <f t="shared" si="97"/>
        <v>475.97670548430688</v>
      </c>
      <c r="F256" s="7">
        <f t="shared" si="98"/>
        <v>1</v>
      </c>
      <c r="G256" s="100">
        <f t="shared" si="99"/>
        <v>28.990096336000001</v>
      </c>
      <c r="H256" s="100">
        <f t="shared" si="100"/>
        <v>47.715377564999997</v>
      </c>
      <c r="I256" s="100">
        <f t="shared" si="101"/>
        <v>28.991324984999999</v>
      </c>
      <c r="J256" s="100">
        <f t="shared" si="102"/>
        <v>47.710680611000001</v>
      </c>
      <c r="K256" s="102">
        <f t="shared" si="103"/>
        <v>38</v>
      </c>
      <c r="L256" s="103">
        <f t="shared" si="104"/>
        <v>3209928.1308716983</v>
      </c>
      <c r="M256" s="103">
        <f t="shared" si="105"/>
        <v>764555.6843302307</v>
      </c>
      <c r="N256" s="103">
        <f t="shared" si="106"/>
        <v>3210053.821707644</v>
      </c>
      <c r="O256" s="103">
        <f t="shared" si="107"/>
        <v>764094.7582609494</v>
      </c>
      <c r="P256" s="105">
        <f t="shared" si="108"/>
        <v>125.69083594577387</v>
      </c>
      <c r="Q256" s="105">
        <f t="shared" si="109"/>
        <v>-460.9260692812968</v>
      </c>
      <c r="R256" s="104">
        <f t="shared" si="110"/>
        <v>477.75624285178554</v>
      </c>
      <c r="S256" s="104" t="str">
        <f t="shared" si="111"/>
        <v>NW</v>
      </c>
      <c r="T256" s="105">
        <f t="shared" si="112"/>
        <v>0.26621918630532859</v>
      </c>
      <c r="U256" s="14">
        <f t="shared" si="113"/>
        <v>-459.20922062425984</v>
      </c>
      <c r="V256" s="14">
        <f t="shared" si="114"/>
        <v>125.22266511041229</v>
      </c>
      <c r="W256" s="103">
        <f t="shared" si="115"/>
        <v>3210053.3535368089</v>
      </c>
      <c r="X256" s="103">
        <f t="shared" si="116"/>
        <v>764096.4751096064</v>
      </c>
      <c r="Y256" s="100">
        <f t="shared" si="117"/>
        <v>28.99132038214184</v>
      </c>
      <c r="Z256" s="100">
        <f t="shared" si="118"/>
        <v>47.710698106981511</v>
      </c>
      <c r="AA256" s="100">
        <f t="shared" si="119"/>
        <v>-1.2240461418393522E-3</v>
      </c>
      <c r="AB256" s="100">
        <f t="shared" si="120"/>
        <v>-4.602858158619938E-6</v>
      </c>
      <c r="AC256" s="100">
        <f t="shared" si="121"/>
        <v>4.6794580184865708E-3</v>
      </c>
      <c r="AD256" s="100">
        <f t="shared" si="122"/>
        <v>1.7495981509796366E-5</v>
      </c>
      <c r="AE256" s="8" t="str">
        <f t="shared" si="95"/>
        <v>Good</v>
      </c>
      <c r="AF256" s="8" t="str">
        <f t="shared" si="96"/>
        <v>Good</v>
      </c>
      <c r="AG256" s="7" t="str">
        <f t="shared" si="123"/>
        <v>Good</v>
      </c>
      <c r="AI256" s="100">
        <f t="shared" si="124"/>
        <v>28.99132038214184</v>
      </c>
      <c r="AJ256" s="100">
        <f t="shared" si="125"/>
        <v>47.710698106981511</v>
      </c>
    </row>
    <row r="257" spans="1:36" x14ac:dyDescent="0.2">
      <c r="A257" s="8">
        <v>26.164999999999999</v>
      </c>
      <c r="B257" s="100">
        <v>28.991324984999999</v>
      </c>
      <c r="C257" s="100">
        <v>47.710680611000001</v>
      </c>
      <c r="D257" s="101">
        <v>26164.527132813611</v>
      </c>
      <c r="E257" s="42" t="str">
        <f t="shared" si="97"/>
        <v/>
      </c>
      <c r="F257" s="7" t="str">
        <f t="shared" si="98"/>
        <v/>
      </c>
      <c r="G257" s="100" t="str">
        <f t="shared" si="99"/>
        <v/>
      </c>
      <c r="H257" s="100" t="str">
        <f t="shared" si="100"/>
        <v/>
      </c>
      <c r="I257" s="100" t="str">
        <f t="shared" si="101"/>
        <v/>
      </c>
      <c r="J257" s="100" t="str">
        <f t="shared" si="102"/>
        <v/>
      </c>
      <c r="K257" s="102" t="str">
        <f t="shared" si="103"/>
        <v/>
      </c>
      <c r="L257" s="103" t="str">
        <f t="shared" si="104"/>
        <v/>
      </c>
      <c r="M257" s="103" t="str">
        <f t="shared" si="105"/>
        <v/>
      </c>
      <c r="N257" s="103" t="str">
        <f t="shared" si="106"/>
        <v/>
      </c>
      <c r="O257" s="103" t="str">
        <f t="shared" si="107"/>
        <v/>
      </c>
      <c r="P257" s="105" t="str">
        <f t="shared" si="108"/>
        <v/>
      </c>
      <c r="Q257" s="105" t="str">
        <f t="shared" si="109"/>
        <v/>
      </c>
      <c r="R257" s="104" t="str">
        <f t="shared" si="110"/>
        <v/>
      </c>
      <c r="S257" s="104" t="str">
        <f t="shared" si="111"/>
        <v/>
      </c>
      <c r="T257" s="105" t="str">
        <f t="shared" si="112"/>
        <v/>
      </c>
      <c r="U257" s="14" t="str">
        <f t="shared" si="113"/>
        <v/>
      </c>
      <c r="V257" s="14" t="str">
        <f t="shared" si="114"/>
        <v/>
      </c>
      <c r="W257" s="103" t="str">
        <f t="shared" si="115"/>
        <v/>
      </c>
      <c r="X257" s="103" t="str">
        <f t="shared" si="116"/>
        <v/>
      </c>
      <c r="Y257" s="100" t="str">
        <f t="shared" si="117"/>
        <v/>
      </c>
      <c r="Z257" s="100" t="str">
        <f t="shared" si="118"/>
        <v/>
      </c>
      <c r="AA257" s="100" t="e">
        <f t="shared" si="119"/>
        <v>#VALUE!</v>
      </c>
      <c r="AB257" s="100" t="e">
        <f t="shared" si="120"/>
        <v>#VALUE!</v>
      </c>
      <c r="AC257" s="100" t="e">
        <f t="shared" si="121"/>
        <v>#VALUE!</v>
      </c>
      <c r="AD257" s="100" t="e">
        <f t="shared" si="122"/>
        <v>#VALUE!</v>
      </c>
      <c r="AE257" s="8" t="str">
        <f t="shared" si="95"/>
        <v/>
      </c>
      <c r="AF257" s="8" t="str">
        <f t="shared" si="96"/>
        <v/>
      </c>
      <c r="AG257" s="7" t="str">
        <f t="shared" si="123"/>
        <v>Good</v>
      </c>
      <c r="AI257" s="100">
        <f t="shared" si="124"/>
        <v>28.991324984999999</v>
      </c>
      <c r="AJ257" s="100">
        <f t="shared" si="125"/>
        <v>47.710680611000001</v>
      </c>
    </row>
    <row r="258" spans="1:36" x14ac:dyDescent="0.2">
      <c r="A258" s="8">
        <v>26.555</v>
      </c>
      <c r="B258" s="100">
        <v>28.992320676999999</v>
      </c>
      <c r="C258" s="100">
        <v>47.706824408999999</v>
      </c>
      <c r="D258" s="101">
        <v>26555.32082778915</v>
      </c>
      <c r="E258" s="42" t="str">
        <f t="shared" si="97"/>
        <v/>
      </c>
      <c r="F258" s="7" t="str">
        <f t="shared" si="98"/>
        <v/>
      </c>
      <c r="G258" s="100" t="str">
        <f t="shared" si="99"/>
        <v/>
      </c>
      <c r="H258" s="100" t="str">
        <f t="shared" si="100"/>
        <v/>
      </c>
      <c r="I258" s="100" t="str">
        <f t="shared" si="101"/>
        <v/>
      </c>
      <c r="J258" s="100" t="str">
        <f t="shared" si="102"/>
        <v/>
      </c>
      <c r="K258" s="102" t="str">
        <f t="shared" si="103"/>
        <v/>
      </c>
      <c r="L258" s="103" t="str">
        <f t="shared" si="104"/>
        <v/>
      </c>
      <c r="M258" s="103" t="str">
        <f t="shared" si="105"/>
        <v/>
      </c>
      <c r="N258" s="103" t="str">
        <f t="shared" si="106"/>
        <v/>
      </c>
      <c r="O258" s="103" t="str">
        <f t="shared" si="107"/>
        <v/>
      </c>
      <c r="P258" s="105" t="str">
        <f t="shared" si="108"/>
        <v/>
      </c>
      <c r="Q258" s="105" t="str">
        <f t="shared" si="109"/>
        <v/>
      </c>
      <c r="R258" s="104" t="str">
        <f t="shared" si="110"/>
        <v/>
      </c>
      <c r="S258" s="104" t="str">
        <f t="shared" si="111"/>
        <v/>
      </c>
      <c r="T258" s="105" t="str">
        <f t="shared" si="112"/>
        <v/>
      </c>
      <c r="U258" s="14" t="str">
        <f t="shared" si="113"/>
        <v/>
      </c>
      <c r="V258" s="14" t="str">
        <f t="shared" si="114"/>
        <v/>
      </c>
      <c r="W258" s="103" t="str">
        <f t="shared" si="115"/>
        <v/>
      </c>
      <c r="X258" s="103" t="str">
        <f t="shared" si="116"/>
        <v/>
      </c>
      <c r="Y258" s="100" t="str">
        <f t="shared" si="117"/>
        <v/>
      </c>
      <c r="Z258" s="100" t="str">
        <f t="shared" si="118"/>
        <v/>
      </c>
      <c r="AA258" s="100" t="e">
        <f t="shared" si="119"/>
        <v>#VALUE!</v>
      </c>
      <c r="AB258" s="100" t="e">
        <f t="shared" si="120"/>
        <v>#VALUE!</v>
      </c>
      <c r="AC258" s="100" t="e">
        <f t="shared" si="121"/>
        <v>#VALUE!</v>
      </c>
      <c r="AD258" s="100" t="e">
        <f t="shared" si="122"/>
        <v>#VALUE!</v>
      </c>
      <c r="AE258" s="8" t="str">
        <f t="shared" si="95"/>
        <v/>
      </c>
      <c r="AF258" s="8" t="str">
        <f t="shared" si="96"/>
        <v/>
      </c>
      <c r="AG258" s="7" t="str">
        <f t="shared" si="123"/>
        <v>Good</v>
      </c>
      <c r="AI258" s="100">
        <f t="shared" si="124"/>
        <v>28.992320676999999</v>
      </c>
      <c r="AJ258" s="100">
        <f t="shared" si="125"/>
        <v>47.706824408999999</v>
      </c>
    </row>
    <row r="259" spans="1:36" x14ac:dyDescent="0.2">
      <c r="A259" s="8">
        <v>26.606999999999999</v>
      </c>
      <c r="B259" s="100">
        <v>28.992457086999998</v>
      </c>
      <c r="C259" s="100">
        <v>47.706319600999997</v>
      </c>
      <c r="D259" s="101">
        <v>26606.673442050393</v>
      </c>
      <c r="E259" s="42" t="str">
        <f t="shared" si="97"/>
        <v/>
      </c>
      <c r="F259" s="7" t="str">
        <f t="shared" si="98"/>
        <v/>
      </c>
      <c r="G259" s="100" t="str">
        <f t="shared" si="99"/>
        <v/>
      </c>
      <c r="H259" s="100" t="str">
        <f t="shared" si="100"/>
        <v/>
      </c>
      <c r="I259" s="100" t="str">
        <f t="shared" si="101"/>
        <v/>
      </c>
      <c r="J259" s="100" t="str">
        <f t="shared" si="102"/>
        <v/>
      </c>
      <c r="K259" s="102" t="str">
        <f t="shared" si="103"/>
        <v/>
      </c>
      <c r="L259" s="103" t="str">
        <f t="shared" si="104"/>
        <v/>
      </c>
      <c r="M259" s="103" t="str">
        <f t="shared" si="105"/>
        <v/>
      </c>
      <c r="N259" s="103" t="str">
        <f t="shared" si="106"/>
        <v/>
      </c>
      <c r="O259" s="103" t="str">
        <f t="shared" si="107"/>
        <v/>
      </c>
      <c r="P259" s="105" t="str">
        <f t="shared" si="108"/>
        <v/>
      </c>
      <c r="Q259" s="105" t="str">
        <f t="shared" si="109"/>
        <v/>
      </c>
      <c r="R259" s="104" t="str">
        <f t="shared" si="110"/>
        <v/>
      </c>
      <c r="S259" s="104" t="str">
        <f t="shared" si="111"/>
        <v/>
      </c>
      <c r="T259" s="105" t="str">
        <f t="shared" si="112"/>
        <v/>
      </c>
      <c r="U259" s="14" t="str">
        <f t="shared" si="113"/>
        <v/>
      </c>
      <c r="V259" s="14" t="str">
        <f t="shared" si="114"/>
        <v/>
      </c>
      <c r="W259" s="103" t="str">
        <f t="shared" si="115"/>
        <v/>
      </c>
      <c r="X259" s="103" t="str">
        <f t="shared" si="116"/>
        <v/>
      </c>
      <c r="Y259" s="100" t="str">
        <f t="shared" si="117"/>
        <v/>
      </c>
      <c r="Z259" s="100" t="str">
        <f t="shared" si="118"/>
        <v/>
      </c>
      <c r="AA259" s="100" t="e">
        <f t="shared" si="119"/>
        <v>#VALUE!</v>
      </c>
      <c r="AB259" s="100" t="e">
        <f t="shared" si="120"/>
        <v>#VALUE!</v>
      </c>
      <c r="AC259" s="100" t="e">
        <f t="shared" si="121"/>
        <v>#VALUE!</v>
      </c>
      <c r="AD259" s="100" t="e">
        <f t="shared" si="122"/>
        <v>#VALUE!</v>
      </c>
      <c r="AE259" s="8" t="str">
        <f t="shared" si="95"/>
        <v/>
      </c>
      <c r="AF259" s="8" t="str">
        <f t="shared" si="96"/>
        <v/>
      </c>
      <c r="AG259" s="7" t="str">
        <f t="shared" si="123"/>
        <v>Good</v>
      </c>
      <c r="AI259" s="100">
        <f t="shared" si="124"/>
        <v>28.992457086999998</v>
      </c>
      <c r="AJ259" s="100">
        <f t="shared" si="125"/>
        <v>47.706319600999997</v>
      </c>
    </row>
    <row r="260" spans="1:36" x14ac:dyDescent="0.2">
      <c r="A260" s="8">
        <v>27.077000000000002</v>
      </c>
      <c r="D260" s="101">
        <v>27077</v>
      </c>
      <c r="E260" s="42">
        <f t="shared" si="97"/>
        <v>470.32655794960738</v>
      </c>
      <c r="F260" s="7">
        <f t="shared" si="98"/>
        <v>1</v>
      </c>
      <c r="G260" s="100">
        <f t="shared" si="99"/>
        <v>28.992457086999998</v>
      </c>
      <c r="H260" s="100">
        <f t="shared" si="100"/>
        <v>47.706319600999997</v>
      </c>
      <c r="I260" s="100">
        <f t="shared" si="101"/>
        <v>28.993716479</v>
      </c>
      <c r="J260" s="100">
        <f t="shared" si="102"/>
        <v>47.701448135</v>
      </c>
      <c r="K260" s="102">
        <f t="shared" si="103"/>
        <v>38</v>
      </c>
      <c r="L260" s="103">
        <f t="shared" si="104"/>
        <v>3210169.5774494144</v>
      </c>
      <c r="M260" s="103">
        <f t="shared" si="105"/>
        <v>763666.83185832808</v>
      </c>
      <c r="N260" s="103">
        <f t="shared" si="106"/>
        <v>3210298.3215012839</v>
      </c>
      <c r="O260" s="103">
        <f t="shared" si="107"/>
        <v>763188.84176271863</v>
      </c>
      <c r="P260" s="105">
        <f t="shared" si="108"/>
        <v>128.74405186949298</v>
      </c>
      <c r="Q260" s="105">
        <f t="shared" si="109"/>
        <v>-477.99009560944978</v>
      </c>
      <c r="R260" s="104">
        <f t="shared" si="110"/>
        <v>495.02480987573301</v>
      </c>
      <c r="S260" s="104" t="str">
        <f t="shared" si="111"/>
        <v>NW</v>
      </c>
      <c r="T260" s="105">
        <f t="shared" si="112"/>
        <v>0.26310086751646955</v>
      </c>
      <c r="U260" s="14">
        <f t="shared" si="113"/>
        <v>-454.14175596255683</v>
      </c>
      <c r="V260" s="14">
        <f t="shared" si="114"/>
        <v>122.320630328538</v>
      </c>
      <c r="W260" s="103">
        <f t="shared" si="115"/>
        <v>3210291.8980797431</v>
      </c>
      <c r="X260" s="103">
        <f t="shared" si="116"/>
        <v>763212.69010236557</v>
      </c>
      <c r="Y260" s="100">
        <f t="shared" si="117"/>
        <v>28.993653621361911</v>
      </c>
      <c r="Z260" s="100">
        <f t="shared" si="118"/>
        <v>47.701691190570429</v>
      </c>
      <c r="AA260" s="100">
        <f t="shared" si="119"/>
        <v>-1.1965343619131374E-3</v>
      </c>
      <c r="AB260" s="100">
        <f t="shared" si="120"/>
        <v>-6.2857638088331669E-5</v>
      </c>
      <c r="AC260" s="100">
        <f t="shared" si="121"/>
        <v>4.628410429567964E-3</v>
      </c>
      <c r="AD260" s="100">
        <f t="shared" si="122"/>
        <v>2.4305557042936243E-4</v>
      </c>
      <c r="AE260" s="8" t="str">
        <f t="shared" ref="AE260:AE323" si="126">IF(E260="","",IF(OR(AND(AA260&gt;0,AB260&gt;0),AND(AA260&lt;0,AB260&lt;0)),"Good",""))</f>
        <v>Good</v>
      </c>
      <c r="AF260" s="8" t="str">
        <f t="shared" ref="AF260:AF323" si="127">IF(E260="","",IF(OR(AND(AC260&gt;0,AD260&gt;0),AND(AC260&lt;0,AD260&lt;0)),"Good",""))</f>
        <v>Good</v>
      </c>
      <c r="AG260" s="7" t="str">
        <f t="shared" si="123"/>
        <v>Good</v>
      </c>
      <c r="AI260" s="100">
        <f t="shared" si="124"/>
        <v>28.993653621361911</v>
      </c>
      <c r="AJ260" s="100">
        <f t="shared" si="125"/>
        <v>47.701691190570429</v>
      </c>
    </row>
    <row r="261" spans="1:36" x14ac:dyDescent="0.2">
      <c r="A261" s="8">
        <v>27.1</v>
      </c>
      <c r="B261" s="100">
        <v>28.993716479</v>
      </c>
      <c r="C261" s="100">
        <v>47.701448135</v>
      </c>
      <c r="D261" s="101">
        <v>27100.398952471634</v>
      </c>
      <c r="E261" s="42" t="str">
        <f t="shared" si="97"/>
        <v/>
      </c>
      <c r="F261" s="7" t="str">
        <f t="shared" si="98"/>
        <v/>
      </c>
      <c r="G261" s="100" t="str">
        <f t="shared" si="99"/>
        <v/>
      </c>
      <c r="H261" s="100" t="str">
        <f t="shared" si="100"/>
        <v/>
      </c>
      <c r="I261" s="100" t="str">
        <f t="shared" si="101"/>
        <v/>
      </c>
      <c r="J261" s="100" t="str">
        <f t="shared" si="102"/>
        <v/>
      </c>
      <c r="K261" s="102" t="str">
        <f t="shared" si="103"/>
        <v/>
      </c>
      <c r="L261" s="103" t="str">
        <f t="shared" si="104"/>
        <v/>
      </c>
      <c r="M261" s="103" t="str">
        <f t="shared" si="105"/>
        <v/>
      </c>
      <c r="N261" s="103" t="str">
        <f t="shared" si="106"/>
        <v/>
      </c>
      <c r="O261" s="103" t="str">
        <f t="shared" si="107"/>
        <v/>
      </c>
      <c r="P261" s="105" t="str">
        <f t="shared" si="108"/>
        <v/>
      </c>
      <c r="Q261" s="105" t="str">
        <f t="shared" si="109"/>
        <v/>
      </c>
      <c r="R261" s="104" t="str">
        <f t="shared" si="110"/>
        <v/>
      </c>
      <c r="S261" s="104" t="str">
        <f t="shared" si="111"/>
        <v/>
      </c>
      <c r="T261" s="105" t="str">
        <f t="shared" si="112"/>
        <v/>
      </c>
      <c r="U261" s="14" t="str">
        <f t="shared" si="113"/>
        <v/>
      </c>
      <c r="V261" s="14" t="str">
        <f t="shared" si="114"/>
        <v/>
      </c>
      <c r="W261" s="103" t="str">
        <f t="shared" si="115"/>
        <v/>
      </c>
      <c r="X261" s="103" t="str">
        <f t="shared" si="116"/>
        <v/>
      </c>
      <c r="Y261" s="100" t="str">
        <f t="shared" si="117"/>
        <v/>
      </c>
      <c r="Z261" s="100" t="str">
        <f t="shared" si="118"/>
        <v/>
      </c>
      <c r="AA261" s="100" t="e">
        <f t="shared" si="119"/>
        <v>#VALUE!</v>
      </c>
      <c r="AB261" s="100" t="e">
        <f t="shared" si="120"/>
        <v>#VALUE!</v>
      </c>
      <c r="AC261" s="100" t="e">
        <f t="shared" si="121"/>
        <v>#VALUE!</v>
      </c>
      <c r="AD261" s="100" t="e">
        <f t="shared" si="122"/>
        <v>#VALUE!</v>
      </c>
      <c r="AE261" s="8" t="str">
        <f t="shared" si="126"/>
        <v/>
      </c>
      <c r="AF261" s="8" t="str">
        <f t="shared" si="127"/>
        <v/>
      </c>
      <c r="AG261" s="7" t="str">
        <f t="shared" si="123"/>
        <v>Good</v>
      </c>
      <c r="AI261" s="100">
        <f t="shared" si="124"/>
        <v>28.993716479</v>
      </c>
      <c r="AJ261" s="100">
        <f t="shared" si="125"/>
        <v>47.701448135</v>
      </c>
    </row>
    <row r="262" spans="1:36" x14ac:dyDescent="0.2">
      <c r="A262" s="8">
        <v>27.100999999999999</v>
      </c>
      <c r="B262" s="100">
        <v>28.993716714000001</v>
      </c>
      <c r="C262" s="100">
        <v>47.701447565999999</v>
      </c>
      <c r="D262" s="101">
        <v>27100.398952471634</v>
      </c>
      <c r="E262" s="42" t="str">
        <f t="shared" si="97"/>
        <v/>
      </c>
      <c r="F262" s="7" t="str">
        <f t="shared" si="98"/>
        <v/>
      </c>
      <c r="G262" s="100" t="str">
        <f t="shared" si="99"/>
        <v/>
      </c>
      <c r="H262" s="100" t="str">
        <f t="shared" si="100"/>
        <v/>
      </c>
      <c r="I262" s="100" t="str">
        <f t="shared" si="101"/>
        <v/>
      </c>
      <c r="J262" s="100" t="str">
        <f t="shared" si="102"/>
        <v/>
      </c>
      <c r="K262" s="102" t="str">
        <f t="shared" si="103"/>
        <v/>
      </c>
      <c r="L262" s="103" t="str">
        <f t="shared" si="104"/>
        <v/>
      </c>
      <c r="M262" s="103" t="str">
        <f t="shared" si="105"/>
        <v/>
      </c>
      <c r="N262" s="103" t="str">
        <f t="shared" si="106"/>
        <v/>
      </c>
      <c r="O262" s="103" t="str">
        <f t="shared" si="107"/>
        <v/>
      </c>
      <c r="P262" s="105" t="str">
        <f t="shared" si="108"/>
        <v/>
      </c>
      <c r="Q262" s="105" t="str">
        <f t="shared" si="109"/>
        <v/>
      </c>
      <c r="R262" s="104" t="str">
        <f t="shared" si="110"/>
        <v/>
      </c>
      <c r="S262" s="104" t="str">
        <f t="shared" si="111"/>
        <v/>
      </c>
      <c r="T262" s="105" t="str">
        <f t="shared" si="112"/>
        <v/>
      </c>
      <c r="U262" s="14" t="str">
        <f t="shared" si="113"/>
        <v/>
      </c>
      <c r="V262" s="14" t="str">
        <f t="shared" si="114"/>
        <v/>
      </c>
      <c r="W262" s="103" t="str">
        <f t="shared" si="115"/>
        <v/>
      </c>
      <c r="X262" s="103" t="str">
        <f t="shared" si="116"/>
        <v/>
      </c>
      <c r="Y262" s="100" t="str">
        <f t="shared" si="117"/>
        <v/>
      </c>
      <c r="Z262" s="100" t="str">
        <f t="shared" si="118"/>
        <v/>
      </c>
      <c r="AA262" s="100" t="e">
        <f t="shared" si="119"/>
        <v>#VALUE!</v>
      </c>
      <c r="AB262" s="100" t="e">
        <f t="shared" si="120"/>
        <v>#VALUE!</v>
      </c>
      <c r="AC262" s="100" t="e">
        <f t="shared" si="121"/>
        <v>#VALUE!</v>
      </c>
      <c r="AD262" s="100" t="e">
        <f t="shared" si="122"/>
        <v>#VALUE!</v>
      </c>
      <c r="AE262" s="8" t="str">
        <f t="shared" si="126"/>
        <v/>
      </c>
      <c r="AF262" s="8" t="str">
        <f t="shared" si="127"/>
        <v/>
      </c>
      <c r="AG262" s="7" t="str">
        <f t="shared" si="123"/>
        <v>Good</v>
      </c>
      <c r="AI262" s="100">
        <f t="shared" si="124"/>
        <v>28.993716714000001</v>
      </c>
      <c r="AJ262" s="100">
        <f t="shared" si="125"/>
        <v>47.701447565999999</v>
      </c>
    </row>
    <row r="263" spans="1:36" x14ac:dyDescent="0.2">
      <c r="A263" s="8">
        <v>27.123999999999999</v>
      </c>
      <c r="B263" s="100">
        <v>28.993773863000001</v>
      </c>
      <c r="C263" s="100">
        <v>47.701210117999999</v>
      </c>
      <c r="D263" s="101">
        <v>27124.335064444691</v>
      </c>
      <c r="E263" s="42" t="str">
        <f t="shared" si="97"/>
        <v/>
      </c>
      <c r="F263" s="7" t="str">
        <f t="shared" si="98"/>
        <v/>
      </c>
      <c r="G263" s="100" t="str">
        <f t="shared" si="99"/>
        <v/>
      </c>
      <c r="H263" s="100" t="str">
        <f t="shared" si="100"/>
        <v/>
      </c>
      <c r="I263" s="100" t="str">
        <f t="shared" si="101"/>
        <v/>
      </c>
      <c r="J263" s="100" t="str">
        <f t="shared" si="102"/>
        <v/>
      </c>
      <c r="K263" s="102" t="str">
        <f t="shared" si="103"/>
        <v/>
      </c>
      <c r="L263" s="103" t="str">
        <f t="shared" si="104"/>
        <v/>
      </c>
      <c r="M263" s="103" t="str">
        <f t="shared" si="105"/>
        <v/>
      </c>
      <c r="N263" s="103" t="str">
        <f t="shared" si="106"/>
        <v/>
      </c>
      <c r="O263" s="103" t="str">
        <f t="shared" si="107"/>
        <v/>
      </c>
      <c r="P263" s="105" t="str">
        <f t="shared" si="108"/>
        <v/>
      </c>
      <c r="Q263" s="105" t="str">
        <f t="shared" si="109"/>
        <v/>
      </c>
      <c r="R263" s="104" t="str">
        <f t="shared" si="110"/>
        <v/>
      </c>
      <c r="S263" s="104" t="str">
        <f t="shared" si="111"/>
        <v/>
      </c>
      <c r="T263" s="105" t="str">
        <f t="shared" si="112"/>
        <v/>
      </c>
      <c r="U263" s="14" t="str">
        <f t="shared" si="113"/>
        <v/>
      </c>
      <c r="V263" s="14" t="str">
        <f t="shared" si="114"/>
        <v/>
      </c>
      <c r="W263" s="103" t="str">
        <f t="shared" si="115"/>
        <v/>
      </c>
      <c r="X263" s="103" t="str">
        <f t="shared" si="116"/>
        <v/>
      </c>
      <c r="Y263" s="100" t="str">
        <f t="shared" si="117"/>
        <v/>
      </c>
      <c r="Z263" s="100" t="str">
        <f t="shared" si="118"/>
        <v/>
      </c>
      <c r="AA263" s="100" t="e">
        <f t="shared" si="119"/>
        <v>#VALUE!</v>
      </c>
      <c r="AB263" s="100" t="e">
        <f t="shared" si="120"/>
        <v>#VALUE!</v>
      </c>
      <c r="AC263" s="100" t="e">
        <f t="shared" si="121"/>
        <v>#VALUE!</v>
      </c>
      <c r="AD263" s="100" t="e">
        <f t="shared" si="122"/>
        <v>#VALUE!</v>
      </c>
      <c r="AE263" s="8" t="str">
        <f t="shared" si="126"/>
        <v/>
      </c>
      <c r="AF263" s="8" t="str">
        <f t="shared" si="127"/>
        <v/>
      </c>
      <c r="AG263" s="7" t="str">
        <f t="shared" si="123"/>
        <v>Good</v>
      </c>
      <c r="AI263" s="100">
        <f t="shared" si="124"/>
        <v>28.993773863000001</v>
      </c>
      <c r="AJ263" s="100">
        <f t="shared" si="125"/>
        <v>47.701210117999999</v>
      </c>
    </row>
    <row r="264" spans="1:36" x14ac:dyDescent="0.2">
      <c r="A264" s="8">
        <v>27.3</v>
      </c>
      <c r="B264" s="100">
        <v>28.994215791999999</v>
      </c>
      <c r="C264" s="100">
        <v>47.699476771</v>
      </c>
      <c r="D264" s="101">
        <v>27299.815724830903</v>
      </c>
      <c r="E264" s="42" t="str">
        <f t="shared" ref="E264:E327" si="128">IF(F264=1,D264-D263,"")</f>
        <v/>
      </c>
      <c r="F264" s="7" t="str">
        <f t="shared" ref="F264:F327" si="129">IF(C264="",1,"")</f>
        <v/>
      </c>
      <c r="G264" s="100" t="str">
        <f t="shared" ref="G264:G327" si="130">IF(F264=1,IF(B263="",G263,B263),"")</f>
        <v/>
      </c>
      <c r="H264" s="100" t="str">
        <f t="shared" ref="H264:H327" si="131">IF(F264=1,IF(C263="",H263,C263),"")</f>
        <v/>
      </c>
      <c r="I264" s="100" t="str">
        <f t="shared" ref="I264:I327" si="132">IF(F264=1,IF(B265="",I265,B265),"")</f>
        <v/>
      </c>
      <c r="J264" s="100" t="str">
        <f t="shared" ref="J264:J327" si="133">IF(F264=1,IF(C265="",J265,C265),"")</f>
        <v/>
      </c>
      <c r="K264" s="102" t="str">
        <f t="shared" ref="K264:K327" si="134">IF(F264=1,utmzone_long(J264),"")</f>
        <v/>
      </c>
      <c r="L264" s="103" t="str">
        <f t="shared" ref="L264:L327" si="135">IF(F264=1,northing(G264,H264),"")</f>
        <v/>
      </c>
      <c r="M264" s="103" t="str">
        <f t="shared" ref="M264:M327" si="136">IF(F264=1,easting(G264,H264),"")</f>
        <v/>
      </c>
      <c r="N264" s="103" t="str">
        <f t="shared" ref="N264:N327" si="137">IF(F264=1,northing(I264,J264),"")</f>
        <v/>
      </c>
      <c r="O264" s="103" t="str">
        <f t="shared" ref="O264:O327" si="138">IF(F264=1,easting(I264,J264),"")</f>
        <v/>
      </c>
      <c r="P264" s="105" t="str">
        <f t="shared" ref="P264:P327" si="139">IF(F264=1,N264-L264,"")</f>
        <v/>
      </c>
      <c r="Q264" s="105" t="str">
        <f t="shared" ref="Q264:Q327" si="140">IF(F264=1,O264-M264,"")</f>
        <v/>
      </c>
      <c r="R264" s="104" t="str">
        <f t="shared" ref="R264:R327" si="141">IF(F264=1,SQRT(ABS(L264-N264)^2+ABS(M264-O264)^2),"")</f>
        <v/>
      </c>
      <c r="S264" s="104" t="str">
        <f t="shared" ref="S264:S327" si="142">IF(F264=1,IF(N264&lt;L264,"S","N") &amp; IF(O264&lt;M264,"W","E"),"")</f>
        <v/>
      </c>
      <c r="T264" s="105" t="str">
        <f t="shared" ref="T264:T327" si="143">IF(F264=1,ABS(ATAN((P264)/Q264)),"")</f>
        <v/>
      </c>
      <c r="U264" s="14" t="str">
        <f t="shared" ref="U264:U327" si="144">IF(F264=1,IF(Q264&lt;0,-1*COS(T264)*E264,COS(T264)*E264),"")</f>
        <v/>
      </c>
      <c r="V264" s="14" t="str">
        <f t="shared" ref="V264:V327" si="145">IF(F264=1,IF(P264&lt;0,-1*SIN(T264)*E264,SIN(T264)*E264),"")</f>
        <v/>
      </c>
      <c r="W264" s="103" t="str">
        <f t="shared" ref="W264:W327" si="146">IF(F264=1,V264+L264,"")</f>
        <v/>
      </c>
      <c r="X264" s="103" t="str">
        <f t="shared" ref="X264:X327" si="147">IF(F264=1,U264+M264,"")</f>
        <v/>
      </c>
      <c r="Y264" s="100" t="str">
        <f t="shared" ref="Y264:Y327" si="148">IF(F264=1,latitude(K264,W264,X264),"")</f>
        <v/>
      </c>
      <c r="Z264" s="100" t="str">
        <f t="shared" ref="Z264:Z327" si="149">IF(F264=1,longitude(K264,W264,X264),"")</f>
        <v/>
      </c>
      <c r="AA264" s="100" t="e">
        <f t="shared" ref="AA264:AA327" si="150">B263-Y264</f>
        <v>#VALUE!</v>
      </c>
      <c r="AB264" s="100" t="e">
        <f t="shared" ref="AB264:AB327" si="151">Y264-B265</f>
        <v>#VALUE!</v>
      </c>
      <c r="AC264" s="100" t="e">
        <f t="shared" ref="AC264:AC327" si="152">C263-Z264</f>
        <v>#VALUE!</v>
      </c>
      <c r="AD264" s="100" t="e">
        <f t="shared" ref="AD264:AD327" si="153">Z264-C265</f>
        <v>#VALUE!</v>
      </c>
      <c r="AE264" s="8" t="str">
        <f t="shared" si="126"/>
        <v/>
      </c>
      <c r="AF264" s="8" t="str">
        <f t="shared" si="127"/>
        <v/>
      </c>
      <c r="AG264" s="7" t="str">
        <f t="shared" ref="AG264:AG327" si="154">IF(F264=1,IF(AND(AE264="Good",AF264="Good"),"Good",""),"Good")</f>
        <v>Good</v>
      </c>
      <c r="AI264" s="100">
        <f t="shared" ref="AI264:AI327" si="155">IF(B264="",Y264,B264)</f>
        <v>28.994215791999999</v>
      </c>
      <c r="AJ264" s="100">
        <f t="shared" ref="AJ264:AJ327" si="156">IF(C264="",Z264,C264)</f>
        <v>47.699476771</v>
      </c>
    </row>
    <row r="265" spans="1:36" x14ac:dyDescent="0.2">
      <c r="A265" s="8">
        <v>27.806999999999999</v>
      </c>
      <c r="B265" s="100">
        <v>28.995504010000001</v>
      </c>
      <c r="C265" s="100">
        <v>47.694460659999997</v>
      </c>
      <c r="D265" s="101">
        <v>27807.924026348181</v>
      </c>
      <c r="E265" s="42" t="str">
        <f t="shared" si="128"/>
        <v/>
      </c>
      <c r="F265" s="7" t="str">
        <f t="shared" si="129"/>
        <v/>
      </c>
      <c r="G265" s="100" t="str">
        <f t="shared" si="130"/>
        <v/>
      </c>
      <c r="H265" s="100" t="str">
        <f t="shared" si="131"/>
        <v/>
      </c>
      <c r="I265" s="100" t="str">
        <f t="shared" si="132"/>
        <v/>
      </c>
      <c r="J265" s="100" t="str">
        <f t="shared" si="133"/>
        <v/>
      </c>
      <c r="K265" s="102" t="str">
        <f t="shared" si="134"/>
        <v/>
      </c>
      <c r="L265" s="103" t="str">
        <f t="shared" si="135"/>
        <v/>
      </c>
      <c r="M265" s="103" t="str">
        <f t="shared" si="136"/>
        <v/>
      </c>
      <c r="N265" s="103" t="str">
        <f t="shared" si="137"/>
        <v/>
      </c>
      <c r="O265" s="103" t="str">
        <f t="shared" si="138"/>
        <v/>
      </c>
      <c r="P265" s="105" t="str">
        <f t="shared" si="139"/>
        <v/>
      </c>
      <c r="Q265" s="105" t="str">
        <f t="shared" si="140"/>
        <v/>
      </c>
      <c r="R265" s="104" t="str">
        <f t="shared" si="141"/>
        <v/>
      </c>
      <c r="S265" s="104" t="str">
        <f t="shared" si="142"/>
        <v/>
      </c>
      <c r="T265" s="105" t="str">
        <f t="shared" si="143"/>
        <v/>
      </c>
      <c r="U265" s="14" t="str">
        <f t="shared" si="144"/>
        <v/>
      </c>
      <c r="V265" s="14" t="str">
        <f t="shared" si="145"/>
        <v/>
      </c>
      <c r="W265" s="103" t="str">
        <f t="shared" si="146"/>
        <v/>
      </c>
      <c r="X265" s="103" t="str">
        <f t="shared" si="147"/>
        <v/>
      </c>
      <c r="Y265" s="100" t="str">
        <f t="shared" si="148"/>
        <v/>
      </c>
      <c r="Z265" s="100" t="str">
        <f t="shared" si="149"/>
        <v/>
      </c>
      <c r="AA265" s="100" t="e">
        <f t="shared" si="150"/>
        <v>#VALUE!</v>
      </c>
      <c r="AB265" s="100" t="e">
        <f t="shared" si="151"/>
        <v>#VALUE!</v>
      </c>
      <c r="AC265" s="100" t="e">
        <f t="shared" si="152"/>
        <v>#VALUE!</v>
      </c>
      <c r="AD265" s="100" t="e">
        <f t="shared" si="153"/>
        <v>#VALUE!</v>
      </c>
      <c r="AE265" s="8" t="str">
        <f t="shared" si="126"/>
        <v/>
      </c>
      <c r="AF265" s="8" t="str">
        <f t="shared" si="127"/>
        <v/>
      </c>
      <c r="AG265" s="7" t="str">
        <f t="shared" si="154"/>
        <v>Good</v>
      </c>
      <c r="AI265" s="100">
        <f t="shared" si="155"/>
        <v>28.995504010000001</v>
      </c>
      <c r="AJ265" s="100">
        <f t="shared" si="156"/>
        <v>47.694460659999997</v>
      </c>
    </row>
    <row r="266" spans="1:36" x14ac:dyDescent="0.2">
      <c r="A266" s="8">
        <v>27.808</v>
      </c>
      <c r="B266" s="100">
        <v>28.995502890000001</v>
      </c>
      <c r="C266" s="100">
        <v>47.694460544000002</v>
      </c>
      <c r="D266" s="101">
        <v>27808.058194343339</v>
      </c>
      <c r="E266" s="42" t="str">
        <f t="shared" si="128"/>
        <v/>
      </c>
      <c r="F266" s="7" t="str">
        <f t="shared" si="129"/>
        <v/>
      </c>
      <c r="G266" s="100" t="str">
        <f t="shared" si="130"/>
        <v/>
      </c>
      <c r="H266" s="100" t="str">
        <f t="shared" si="131"/>
        <v/>
      </c>
      <c r="I266" s="100" t="str">
        <f t="shared" si="132"/>
        <v/>
      </c>
      <c r="J266" s="100" t="str">
        <f t="shared" si="133"/>
        <v/>
      </c>
      <c r="K266" s="102" t="str">
        <f t="shared" si="134"/>
        <v/>
      </c>
      <c r="L266" s="103" t="str">
        <f t="shared" si="135"/>
        <v/>
      </c>
      <c r="M266" s="103" t="str">
        <f t="shared" si="136"/>
        <v/>
      </c>
      <c r="N266" s="103" t="str">
        <f t="shared" si="137"/>
        <v/>
      </c>
      <c r="O266" s="103" t="str">
        <f t="shared" si="138"/>
        <v/>
      </c>
      <c r="P266" s="105" t="str">
        <f t="shared" si="139"/>
        <v/>
      </c>
      <c r="Q266" s="105" t="str">
        <f t="shared" si="140"/>
        <v/>
      </c>
      <c r="R266" s="104" t="str">
        <f t="shared" si="141"/>
        <v/>
      </c>
      <c r="S266" s="104" t="str">
        <f t="shared" si="142"/>
        <v/>
      </c>
      <c r="T266" s="105" t="str">
        <f t="shared" si="143"/>
        <v/>
      </c>
      <c r="U266" s="14" t="str">
        <f t="shared" si="144"/>
        <v/>
      </c>
      <c r="V266" s="14" t="str">
        <f t="shared" si="145"/>
        <v/>
      </c>
      <c r="W266" s="103" t="str">
        <f t="shared" si="146"/>
        <v/>
      </c>
      <c r="X266" s="103" t="str">
        <f t="shared" si="147"/>
        <v/>
      </c>
      <c r="Y266" s="100" t="str">
        <f t="shared" si="148"/>
        <v/>
      </c>
      <c r="Z266" s="100" t="str">
        <f t="shared" si="149"/>
        <v/>
      </c>
      <c r="AA266" s="100" t="e">
        <f t="shared" si="150"/>
        <v>#VALUE!</v>
      </c>
      <c r="AB266" s="100" t="e">
        <f t="shared" si="151"/>
        <v>#VALUE!</v>
      </c>
      <c r="AC266" s="100" t="e">
        <f t="shared" si="152"/>
        <v>#VALUE!</v>
      </c>
      <c r="AD266" s="100" t="e">
        <f t="shared" si="153"/>
        <v>#VALUE!</v>
      </c>
      <c r="AE266" s="8" t="str">
        <f t="shared" si="126"/>
        <v/>
      </c>
      <c r="AF266" s="8" t="str">
        <f t="shared" si="127"/>
        <v/>
      </c>
      <c r="AG266" s="7" t="str">
        <f t="shared" si="154"/>
        <v>Good</v>
      </c>
      <c r="AI266" s="100">
        <f t="shared" si="155"/>
        <v>28.995502890000001</v>
      </c>
      <c r="AJ266" s="100">
        <f t="shared" si="156"/>
        <v>47.694460544000002</v>
      </c>
    </row>
    <row r="267" spans="1:36" x14ac:dyDescent="0.2">
      <c r="A267" s="8">
        <v>27.835999999999999</v>
      </c>
      <c r="D267" s="101">
        <v>27836</v>
      </c>
      <c r="E267" s="42">
        <f t="shared" si="128"/>
        <v>27.941805656661018</v>
      </c>
      <c r="F267" s="7">
        <f t="shared" si="129"/>
        <v>1</v>
      </c>
      <c r="G267" s="100">
        <f t="shared" si="130"/>
        <v>28.995502890000001</v>
      </c>
      <c r="H267" s="100">
        <f t="shared" si="131"/>
        <v>47.694460544000002</v>
      </c>
      <c r="I267" s="100">
        <f t="shared" si="132"/>
        <v>28.995588517000002</v>
      </c>
      <c r="J267" s="100">
        <f t="shared" si="133"/>
        <v>47.694142991</v>
      </c>
      <c r="K267" s="102">
        <f t="shared" si="134"/>
        <v>38</v>
      </c>
      <c r="L267" s="103">
        <f t="shared" si="135"/>
        <v>3210480.8014466609</v>
      </c>
      <c r="M267" s="103">
        <f t="shared" si="136"/>
        <v>762503.28909658804</v>
      </c>
      <c r="N267" s="103">
        <f t="shared" si="137"/>
        <v>3210489.5877730804</v>
      </c>
      <c r="O267" s="103">
        <f t="shared" si="138"/>
        <v>762472.12333311513</v>
      </c>
      <c r="P267" s="105">
        <f t="shared" si="139"/>
        <v>8.7863264195621014</v>
      </c>
      <c r="Q267" s="105">
        <f t="shared" si="140"/>
        <v>-31.165763472905383</v>
      </c>
      <c r="R267" s="104">
        <f t="shared" si="141"/>
        <v>32.380616806975411</v>
      </c>
      <c r="S267" s="104" t="str">
        <f t="shared" si="142"/>
        <v>NW</v>
      </c>
      <c r="T267" s="105">
        <f t="shared" si="143"/>
        <v>0.27479044042665968</v>
      </c>
      <c r="U267" s="14">
        <f t="shared" si="144"/>
        <v>-26.893487276431184</v>
      </c>
      <c r="V267" s="14">
        <f t="shared" si="145"/>
        <v>7.5818761178911132</v>
      </c>
      <c r="W267" s="103">
        <f t="shared" si="146"/>
        <v>3210488.3833227786</v>
      </c>
      <c r="X267" s="103">
        <f t="shared" si="147"/>
        <v>762476.39560931164</v>
      </c>
      <c r="Y267" s="100">
        <f t="shared" si="148"/>
        <v>28.995576752105681</v>
      </c>
      <c r="Z267" s="100">
        <f t="shared" si="149"/>
        <v>47.694186522515238</v>
      </c>
      <c r="AA267" s="100">
        <f t="shared" si="150"/>
        <v>-7.3862105679722845E-5</v>
      </c>
      <c r="AB267" s="100">
        <f t="shared" si="151"/>
        <v>-1.1764894320975827E-5</v>
      </c>
      <c r="AC267" s="100">
        <f t="shared" si="152"/>
        <v>2.7402148476340926E-4</v>
      </c>
      <c r="AD267" s="100">
        <f t="shared" si="153"/>
        <v>4.3531515238726115E-5</v>
      </c>
      <c r="AE267" s="8" t="str">
        <f t="shared" si="126"/>
        <v>Good</v>
      </c>
      <c r="AF267" s="8" t="str">
        <f t="shared" si="127"/>
        <v>Good</v>
      </c>
      <c r="AG267" s="7" t="str">
        <f t="shared" si="154"/>
        <v>Good</v>
      </c>
      <c r="AI267" s="100">
        <f t="shared" si="155"/>
        <v>28.995576752105681</v>
      </c>
      <c r="AJ267" s="100">
        <f t="shared" si="156"/>
        <v>47.694186522515238</v>
      </c>
    </row>
    <row r="268" spans="1:36" x14ac:dyDescent="0.2">
      <c r="A268" s="8">
        <v>27.84</v>
      </c>
      <c r="B268" s="100">
        <v>28.995588517000002</v>
      </c>
      <c r="C268" s="100">
        <v>47.694142991</v>
      </c>
      <c r="D268" s="101">
        <v>27840.355220695033</v>
      </c>
      <c r="E268" s="42" t="str">
        <f t="shared" si="128"/>
        <v/>
      </c>
      <c r="F268" s="7" t="str">
        <f t="shared" si="129"/>
        <v/>
      </c>
      <c r="G268" s="100" t="str">
        <f t="shared" si="130"/>
        <v/>
      </c>
      <c r="H268" s="100" t="str">
        <f t="shared" si="131"/>
        <v/>
      </c>
      <c r="I268" s="100" t="str">
        <f t="shared" si="132"/>
        <v/>
      </c>
      <c r="J268" s="100" t="str">
        <f t="shared" si="133"/>
        <v/>
      </c>
      <c r="K268" s="102" t="str">
        <f t="shared" si="134"/>
        <v/>
      </c>
      <c r="L268" s="103" t="str">
        <f t="shared" si="135"/>
        <v/>
      </c>
      <c r="M268" s="103" t="str">
        <f t="shared" si="136"/>
        <v/>
      </c>
      <c r="N268" s="103" t="str">
        <f t="shared" si="137"/>
        <v/>
      </c>
      <c r="O268" s="103" t="str">
        <f t="shared" si="138"/>
        <v/>
      </c>
      <c r="P268" s="105" t="str">
        <f t="shared" si="139"/>
        <v/>
      </c>
      <c r="Q268" s="105" t="str">
        <f t="shared" si="140"/>
        <v/>
      </c>
      <c r="R268" s="104" t="str">
        <f t="shared" si="141"/>
        <v/>
      </c>
      <c r="S268" s="104" t="str">
        <f t="shared" si="142"/>
        <v/>
      </c>
      <c r="T268" s="105" t="str">
        <f t="shared" si="143"/>
        <v/>
      </c>
      <c r="U268" s="14" t="str">
        <f t="shared" si="144"/>
        <v/>
      </c>
      <c r="V268" s="14" t="str">
        <f t="shared" si="145"/>
        <v/>
      </c>
      <c r="W268" s="103" t="str">
        <f t="shared" si="146"/>
        <v/>
      </c>
      <c r="X268" s="103" t="str">
        <f t="shared" si="147"/>
        <v/>
      </c>
      <c r="Y268" s="100" t="str">
        <f t="shared" si="148"/>
        <v/>
      </c>
      <c r="Z268" s="100" t="str">
        <f t="shared" si="149"/>
        <v/>
      </c>
      <c r="AA268" s="100" t="e">
        <f t="shared" si="150"/>
        <v>#VALUE!</v>
      </c>
      <c r="AB268" s="100" t="e">
        <f t="shared" si="151"/>
        <v>#VALUE!</v>
      </c>
      <c r="AC268" s="100" t="e">
        <f t="shared" si="152"/>
        <v>#VALUE!</v>
      </c>
      <c r="AD268" s="100" t="e">
        <f t="shared" si="153"/>
        <v>#VALUE!</v>
      </c>
      <c r="AE268" s="8" t="str">
        <f t="shared" si="126"/>
        <v/>
      </c>
      <c r="AF268" s="8" t="str">
        <f t="shared" si="127"/>
        <v/>
      </c>
      <c r="AG268" s="7" t="str">
        <f t="shared" si="154"/>
        <v>Good</v>
      </c>
      <c r="AI268" s="100">
        <f t="shared" si="155"/>
        <v>28.995588517000002</v>
      </c>
      <c r="AJ268" s="100">
        <f t="shared" si="156"/>
        <v>47.694142991</v>
      </c>
    </row>
    <row r="269" spans="1:36" x14ac:dyDescent="0.2">
      <c r="A269" s="8">
        <v>27.850999999999999</v>
      </c>
      <c r="D269" s="101">
        <v>27851</v>
      </c>
      <c r="E269" s="42">
        <f t="shared" si="128"/>
        <v>10.644779304966505</v>
      </c>
      <c r="F269" s="7">
        <f t="shared" si="129"/>
        <v>1</v>
      </c>
      <c r="G269" s="100">
        <f t="shared" si="130"/>
        <v>28.995588517000002</v>
      </c>
      <c r="H269" s="100">
        <f t="shared" si="131"/>
        <v>47.694142991</v>
      </c>
      <c r="I269" s="100">
        <f t="shared" si="132"/>
        <v>28.996900069999999</v>
      </c>
      <c r="J269" s="100">
        <f t="shared" si="133"/>
        <v>47.689031698999997</v>
      </c>
      <c r="K269" s="102">
        <f t="shared" si="134"/>
        <v>38</v>
      </c>
      <c r="L269" s="103">
        <f t="shared" si="135"/>
        <v>3210489.5877730804</v>
      </c>
      <c r="M269" s="103">
        <f t="shared" si="136"/>
        <v>762472.12333311513</v>
      </c>
      <c r="N269" s="103">
        <f t="shared" si="137"/>
        <v>3210623.629663093</v>
      </c>
      <c r="O269" s="103">
        <f t="shared" si="138"/>
        <v>761970.65910929919</v>
      </c>
      <c r="P269" s="105">
        <f t="shared" si="139"/>
        <v>134.041890012566</v>
      </c>
      <c r="Q269" s="105">
        <f t="shared" si="140"/>
        <v>-501.46422381594311</v>
      </c>
      <c r="R269" s="104">
        <f t="shared" si="141"/>
        <v>519.0699336750946</v>
      </c>
      <c r="S269" s="104" t="str">
        <f t="shared" si="142"/>
        <v>NW</v>
      </c>
      <c r="T269" s="105">
        <f t="shared" si="143"/>
        <v>0.26119452091675283</v>
      </c>
      <c r="U269" s="14">
        <f t="shared" si="144"/>
        <v>-10.283731816372709</v>
      </c>
      <c r="V269" s="14">
        <f t="shared" si="145"/>
        <v>2.7488518294675024</v>
      </c>
      <c r="W269" s="103">
        <f t="shared" si="146"/>
        <v>3210492.3366249101</v>
      </c>
      <c r="X269" s="103">
        <f t="shared" si="147"/>
        <v>762461.83960129879</v>
      </c>
      <c r="Y269" s="100">
        <f t="shared" si="148"/>
        <v>28.995615388437198</v>
      </c>
      <c r="Z269" s="100">
        <f t="shared" si="149"/>
        <v>47.694038173662975</v>
      </c>
      <c r="AA269" s="100">
        <f t="shared" si="150"/>
        <v>-2.6871437196263059E-5</v>
      </c>
      <c r="AB269" s="100">
        <f t="shared" si="151"/>
        <v>-1.2846815628009267E-3</v>
      </c>
      <c r="AC269" s="100">
        <f t="shared" si="152"/>
        <v>1.048173370250538E-4</v>
      </c>
      <c r="AD269" s="100">
        <f t="shared" si="153"/>
        <v>5.0064746629772117E-3</v>
      </c>
      <c r="AE269" s="8" t="str">
        <f t="shared" si="126"/>
        <v>Good</v>
      </c>
      <c r="AF269" s="8" t="str">
        <f t="shared" si="127"/>
        <v>Good</v>
      </c>
      <c r="AG269" s="7" t="str">
        <f t="shared" si="154"/>
        <v>Good</v>
      </c>
      <c r="AI269" s="100">
        <f t="shared" si="155"/>
        <v>28.995615388437198</v>
      </c>
      <c r="AJ269" s="100">
        <f t="shared" si="156"/>
        <v>47.694038173662975</v>
      </c>
    </row>
    <row r="270" spans="1:36" x14ac:dyDescent="0.2">
      <c r="A270" s="8">
        <v>28.358000000000001</v>
      </c>
      <c r="B270" s="100">
        <v>28.996900069999999</v>
      </c>
      <c r="C270" s="100">
        <v>47.689031698999997</v>
      </c>
      <c r="D270" s="101">
        <v>28358.063804897734</v>
      </c>
      <c r="E270" s="42" t="str">
        <f t="shared" si="128"/>
        <v/>
      </c>
      <c r="F270" s="7" t="str">
        <f t="shared" si="129"/>
        <v/>
      </c>
      <c r="G270" s="100" t="str">
        <f t="shared" si="130"/>
        <v/>
      </c>
      <c r="H270" s="100" t="str">
        <f t="shared" si="131"/>
        <v/>
      </c>
      <c r="I270" s="100" t="str">
        <f t="shared" si="132"/>
        <v/>
      </c>
      <c r="J270" s="100" t="str">
        <f t="shared" si="133"/>
        <v/>
      </c>
      <c r="K270" s="102" t="str">
        <f t="shared" si="134"/>
        <v/>
      </c>
      <c r="L270" s="103" t="str">
        <f t="shared" si="135"/>
        <v/>
      </c>
      <c r="M270" s="103" t="str">
        <f t="shared" si="136"/>
        <v/>
      </c>
      <c r="N270" s="103" t="str">
        <f t="shared" si="137"/>
        <v/>
      </c>
      <c r="O270" s="103" t="str">
        <f t="shared" si="138"/>
        <v/>
      </c>
      <c r="P270" s="105" t="str">
        <f t="shared" si="139"/>
        <v/>
      </c>
      <c r="Q270" s="105" t="str">
        <f t="shared" si="140"/>
        <v/>
      </c>
      <c r="R270" s="104" t="str">
        <f t="shared" si="141"/>
        <v/>
      </c>
      <c r="S270" s="104" t="str">
        <f t="shared" si="142"/>
        <v/>
      </c>
      <c r="T270" s="105" t="str">
        <f t="shared" si="143"/>
        <v/>
      </c>
      <c r="U270" s="14" t="str">
        <f t="shared" si="144"/>
        <v/>
      </c>
      <c r="V270" s="14" t="str">
        <f t="shared" si="145"/>
        <v/>
      </c>
      <c r="W270" s="103" t="str">
        <f t="shared" si="146"/>
        <v/>
      </c>
      <c r="X270" s="103" t="str">
        <f t="shared" si="147"/>
        <v/>
      </c>
      <c r="Y270" s="100" t="str">
        <f t="shared" si="148"/>
        <v/>
      </c>
      <c r="Z270" s="100" t="str">
        <f t="shared" si="149"/>
        <v/>
      </c>
      <c r="AA270" s="100" t="e">
        <f t="shared" si="150"/>
        <v>#VALUE!</v>
      </c>
      <c r="AB270" s="100" t="e">
        <f t="shared" si="151"/>
        <v>#VALUE!</v>
      </c>
      <c r="AC270" s="100" t="e">
        <f t="shared" si="152"/>
        <v>#VALUE!</v>
      </c>
      <c r="AD270" s="100" t="e">
        <f t="shared" si="153"/>
        <v>#VALUE!</v>
      </c>
      <c r="AE270" s="8" t="str">
        <f t="shared" si="126"/>
        <v/>
      </c>
      <c r="AF270" s="8" t="str">
        <f t="shared" si="127"/>
        <v/>
      </c>
      <c r="AG270" s="7" t="str">
        <f t="shared" si="154"/>
        <v>Good</v>
      </c>
      <c r="AI270" s="100">
        <f t="shared" si="155"/>
        <v>28.996900069999999</v>
      </c>
      <c r="AJ270" s="100">
        <f t="shared" si="156"/>
        <v>47.689031698999997</v>
      </c>
    </row>
    <row r="271" spans="1:36" x14ac:dyDescent="0.2">
      <c r="A271" s="8">
        <v>28.881</v>
      </c>
      <c r="B271" s="100">
        <v>28.998251518</v>
      </c>
      <c r="C271" s="100">
        <v>47.683872594</v>
      </c>
      <c r="D271" s="101">
        <v>28881.481514051371</v>
      </c>
      <c r="E271" s="42" t="str">
        <f t="shared" si="128"/>
        <v/>
      </c>
      <c r="F271" s="7" t="str">
        <f t="shared" si="129"/>
        <v/>
      </c>
      <c r="G271" s="100" t="str">
        <f t="shared" si="130"/>
        <v/>
      </c>
      <c r="H271" s="100" t="str">
        <f t="shared" si="131"/>
        <v/>
      </c>
      <c r="I271" s="100" t="str">
        <f t="shared" si="132"/>
        <v/>
      </c>
      <c r="J271" s="100" t="str">
        <f t="shared" si="133"/>
        <v/>
      </c>
      <c r="K271" s="102" t="str">
        <f t="shared" si="134"/>
        <v/>
      </c>
      <c r="L271" s="103" t="str">
        <f t="shared" si="135"/>
        <v/>
      </c>
      <c r="M271" s="103" t="str">
        <f t="shared" si="136"/>
        <v/>
      </c>
      <c r="N271" s="103" t="str">
        <f t="shared" si="137"/>
        <v/>
      </c>
      <c r="O271" s="103" t="str">
        <f t="shared" si="138"/>
        <v/>
      </c>
      <c r="P271" s="105" t="str">
        <f t="shared" si="139"/>
        <v/>
      </c>
      <c r="Q271" s="105" t="str">
        <f t="shared" si="140"/>
        <v/>
      </c>
      <c r="R271" s="104" t="str">
        <f t="shared" si="141"/>
        <v/>
      </c>
      <c r="S271" s="104" t="str">
        <f t="shared" si="142"/>
        <v/>
      </c>
      <c r="T271" s="105" t="str">
        <f t="shared" si="143"/>
        <v/>
      </c>
      <c r="U271" s="14" t="str">
        <f t="shared" si="144"/>
        <v/>
      </c>
      <c r="V271" s="14" t="str">
        <f t="shared" si="145"/>
        <v/>
      </c>
      <c r="W271" s="103" t="str">
        <f t="shared" si="146"/>
        <v/>
      </c>
      <c r="X271" s="103" t="str">
        <f t="shared" si="147"/>
        <v/>
      </c>
      <c r="Y271" s="100" t="str">
        <f t="shared" si="148"/>
        <v/>
      </c>
      <c r="Z271" s="100" t="str">
        <f t="shared" si="149"/>
        <v/>
      </c>
      <c r="AA271" s="100" t="e">
        <f t="shared" si="150"/>
        <v>#VALUE!</v>
      </c>
      <c r="AB271" s="100" t="e">
        <f t="shared" si="151"/>
        <v>#VALUE!</v>
      </c>
      <c r="AC271" s="100" t="e">
        <f t="shared" si="152"/>
        <v>#VALUE!</v>
      </c>
      <c r="AD271" s="100" t="e">
        <f t="shared" si="153"/>
        <v>#VALUE!</v>
      </c>
      <c r="AE271" s="8" t="str">
        <f t="shared" si="126"/>
        <v/>
      </c>
      <c r="AF271" s="8" t="str">
        <f t="shared" si="127"/>
        <v/>
      </c>
      <c r="AG271" s="7" t="str">
        <f t="shared" si="154"/>
        <v>Good</v>
      </c>
      <c r="AI271" s="100">
        <f t="shared" si="155"/>
        <v>28.998251518</v>
      </c>
      <c r="AJ271" s="100">
        <f t="shared" si="156"/>
        <v>47.683872594</v>
      </c>
    </row>
    <row r="272" spans="1:36" x14ac:dyDescent="0.2">
      <c r="A272" s="8">
        <v>28.902999999999999</v>
      </c>
      <c r="B272" s="100">
        <v>28.998301017999999</v>
      </c>
      <c r="C272" s="100">
        <v>47.683660736</v>
      </c>
      <c r="D272" s="101">
        <v>28902.793752868485</v>
      </c>
      <c r="E272" s="42" t="str">
        <f t="shared" si="128"/>
        <v/>
      </c>
      <c r="F272" s="7" t="str">
        <f t="shared" si="129"/>
        <v/>
      </c>
      <c r="G272" s="100" t="str">
        <f t="shared" si="130"/>
        <v/>
      </c>
      <c r="H272" s="100" t="str">
        <f t="shared" si="131"/>
        <v/>
      </c>
      <c r="I272" s="100" t="str">
        <f t="shared" si="132"/>
        <v/>
      </c>
      <c r="J272" s="100" t="str">
        <f t="shared" si="133"/>
        <v/>
      </c>
      <c r="K272" s="102" t="str">
        <f t="shared" si="134"/>
        <v/>
      </c>
      <c r="L272" s="103" t="str">
        <f t="shared" si="135"/>
        <v/>
      </c>
      <c r="M272" s="103" t="str">
        <f t="shared" si="136"/>
        <v/>
      </c>
      <c r="N272" s="103" t="str">
        <f t="shared" si="137"/>
        <v/>
      </c>
      <c r="O272" s="103" t="str">
        <f t="shared" si="138"/>
        <v/>
      </c>
      <c r="P272" s="105" t="str">
        <f t="shared" si="139"/>
        <v/>
      </c>
      <c r="Q272" s="105" t="str">
        <f t="shared" si="140"/>
        <v/>
      </c>
      <c r="R272" s="104" t="str">
        <f t="shared" si="141"/>
        <v/>
      </c>
      <c r="S272" s="104" t="str">
        <f t="shared" si="142"/>
        <v/>
      </c>
      <c r="T272" s="105" t="str">
        <f t="shared" si="143"/>
        <v/>
      </c>
      <c r="U272" s="14" t="str">
        <f t="shared" si="144"/>
        <v/>
      </c>
      <c r="V272" s="14" t="str">
        <f t="shared" si="145"/>
        <v/>
      </c>
      <c r="W272" s="103" t="str">
        <f t="shared" si="146"/>
        <v/>
      </c>
      <c r="X272" s="103" t="str">
        <f t="shared" si="147"/>
        <v/>
      </c>
      <c r="Y272" s="100" t="str">
        <f t="shared" si="148"/>
        <v/>
      </c>
      <c r="Z272" s="100" t="str">
        <f t="shared" si="149"/>
        <v/>
      </c>
      <c r="AA272" s="100" t="e">
        <f t="shared" si="150"/>
        <v>#VALUE!</v>
      </c>
      <c r="AB272" s="100" t="e">
        <f t="shared" si="151"/>
        <v>#VALUE!</v>
      </c>
      <c r="AC272" s="100" t="e">
        <f t="shared" si="152"/>
        <v>#VALUE!</v>
      </c>
      <c r="AD272" s="100" t="e">
        <f t="shared" si="153"/>
        <v>#VALUE!</v>
      </c>
      <c r="AE272" s="8" t="str">
        <f t="shared" si="126"/>
        <v/>
      </c>
      <c r="AF272" s="8" t="str">
        <f t="shared" si="127"/>
        <v/>
      </c>
      <c r="AG272" s="7" t="str">
        <f t="shared" si="154"/>
        <v>Good</v>
      </c>
      <c r="AI272" s="100">
        <f t="shared" si="155"/>
        <v>28.998301017999999</v>
      </c>
      <c r="AJ272" s="100">
        <f t="shared" si="156"/>
        <v>47.683660736</v>
      </c>
    </row>
    <row r="273" spans="1:36" x14ac:dyDescent="0.2">
      <c r="A273" s="8">
        <v>28.956</v>
      </c>
      <c r="B273" s="100">
        <v>28.998442988000001</v>
      </c>
      <c r="C273" s="100">
        <v>47.683137484</v>
      </c>
      <c r="D273" s="101">
        <v>28956.038842318179</v>
      </c>
      <c r="E273" s="42" t="str">
        <f t="shared" si="128"/>
        <v/>
      </c>
      <c r="F273" s="7" t="str">
        <f t="shared" si="129"/>
        <v/>
      </c>
      <c r="G273" s="100" t="str">
        <f t="shared" si="130"/>
        <v/>
      </c>
      <c r="H273" s="100" t="str">
        <f t="shared" si="131"/>
        <v/>
      </c>
      <c r="I273" s="100" t="str">
        <f t="shared" si="132"/>
        <v/>
      </c>
      <c r="J273" s="100" t="str">
        <f t="shared" si="133"/>
        <v/>
      </c>
      <c r="K273" s="102" t="str">
        <f t="shared" si="134"/>
        <v/>
      </c>
      <c r="L273" s="103" t="str">
        <f t="shared" si="135"/>
        <v/>
      </c>
      <c r="M273" s="103" t="str">
        <f t="shared" si="136"/>
        <v/>
      </c>
      <c r="N273" s="103" t="str">
        <f t="shared" si="137"/>
        <v/>
      </c>
      <c r="O273" s="103" t="str">
        <f t="shared" si="138"/>
        <v/>
      </c>
      <c r="P273" s="105" t="str">
        <f t="shared" si="139"/>
        <v/>
      </c>
      <c r="Q273" s="105" t="str">
        <f t="shared" si="140"/>
        <v/>
      </c>
      <c r="R273" s="104" t="str">
        <f t="shared" si="141"/>
        <v/>
      </c>
      <c r="S273" s="104" t="str">
        <f t="shared" si="142"/>
        <v/>
      </c>
      <c r="T273" s="105" t="str">
        <f t="shared" si="143"/>
        <v/>
      </c>
      <c r="U273" s="14" t="str">
        <f t="shared" si="144"/>
        <v/>
      </c>
      <c r="V273" s="14" t="str">
        <f t="shared" si="145"/>
        <v/>
      </c>
      <c r="W273" s="103" t="str">
        <f t="shared" si="146"/>
        <v/>
      </c>
      <c r="X273" s="103" t="str">
        <f t="shared" si="147"/>
        <v/>
      </c>
      <c r="Y273" s="100" t="str">
        <f t="shared" si="148"/>
        <v/>
      </c>
      <c r="Z273" s="100" t="str">
        <f t="shared" si="149"/>
        <v/>
      </c>
      <c r="AA273" s="100" t="e">
        <f t="shared" si="150"/>
        <v>#VALUE!</v>
      </c>
      <c r="AB273" s="100" t="e">
        <f t="shared" si="151"/>
        <v>#VALUE!</v>
      </c>
      <c r="AC273" s="100" t="e">
        <f t="shared" si="152"/>
        <v>#VALUE!</v>
      </c>
      <c r="AD273" s="100" t="e">
        <f t="shared" si="153"/>
        <v>#VALUE!</v>
      </c>
      <c r="AE273" s="8" t="str">
        <f t="shared" si="126"/>
        <v/>
      </c>
      <c r="AF273" s="8" t="str">
        <f t="shared" si="127"/>
        <v/>
      </c>
      <c r="AG273" s="7" t="str">
        <f t="shared" si="154"/>
        <v>Good</v>
      </c>
      <c r="AI273" s="100">
        <f t="shared" si="155"/>
        <v>28.998442988000001</v>
      </c>
      <c r="AJ273" s="100">
        <f t="shared" si="156"/>
        <v>47.683137484</v>
      </c>
    </row>
    <row r="274" spans="1:36" x14ac:dyDescent="0.2">
      <c r="A274" s="8">
        <v>28.960999999999999</v>
      </c>
      <c r="D274" s="101">
        <v>28961</v>
      </c>
      <c r="E274" s="42">
        <f t="shared" si="128"/>
        <v>4.9611576818206231</v>
      </c>
      <c r="F274" s="7">
        <f t="shared" si="129"/>
        <v>1</v>
      </c>
      <c r="G274" s="100">
        <f t="shared" si="130"/>
        <v>28.998442988000001</v>
      </c>
      <c r="H274" s="100">
        <f t="shared" si="131"/>
        <v>47.683137484</v>
      </c>
      <c r="I274" s="100">
        <f t="shared" si="132"/>
        <v>28.998458764999999</v>
      </c>
      <c r="J274" s="100">
        <f t="shared" si="133"/>
        <v>47.683076266999997</v>
      </c>
      <c r="K274" s="102">
        <f t="shared" si="134"/>
        <v>38</v>
      </c>
      <c r="L274" s="103">
        <f t="shared" si="135"/>
        <v>3210781.6070289323</v>
      </c>
      <c r="M274" s="103">
        <f t="shared" si="136"/>
        <v>761392.32316157606</v>
      </c>
      <c r="N274" s="103">
        <f t="shared" si="137"/>
        <v>3210783.220464692</v>
      </c>
      <c r="O274" s="103">
        <f t="shared" si="138"/>
        <v>761386.31731583993</v>
      </c>
      <c r="P274" s="105">
        <f t="shared" si="139"/>
        <v>1.6134357596747577</v>
      </c>
      <c r="Q274" s="105">
        <f t="shared" si="140"/>
        <v>-6.0058457361301407</v>
      </c>
      <c r="R274" s="104">
        <f t="shared" si="141"/>
        <v>6.2187907149854995</v>
      </c>
      <c r="S274" s="104" t="str">
        <f t="shared" si="142"/>
        <v>NW</v>
      </c>
      <c r="T274" s="105">
        <f t="shared" si="143"/>
        <v>0.26244774715665209</v>
      </c>
      <c r="U274" s="14">
        <f t="shared" si="144"/>
        <v>-4.7912768052849906</v>
      </c>
      <c r="V274" s="14">
        <f t="shared" si="145"/>
        <v>1.2871488332845726</v>
      </c>
      <c r="W274" s="103">
        <f t="shared" si="146"/>
        <v>3210782.8941777656</v>
      </c>
      <c r="X274" s="103">
        <f t="shared" si="147"/>
        <v>761387.53188477072</v>
      </c>
      <c r="Y274" s="100">
        <f t="shared" si="148"/>
        <v>28.998455547228982</v>
      </c>
      <c r="Z274" s="100">
        <f t="shared" si="149"/>
        <v>47.683088647514879</v>
      </c>
      <c r="AA274" s="100">
        <f t="shared" si="150"/>
        <v>-1.2559228981245951E-5</v>
      </c>
      <c r="AB274" s="100">
        <f t="shared" si="151"/>
        <v>-3.2177710167502482E-6</v>
      </c>
      <c r="AC274" s="100">
        <f t="shared" si="152"/>
        <v>4.8836485120773432E-5</v>
      </c>
      <c r="AD274" s="100">
        <f t="shared" si="153"/>
        <v>1.2380514881726867E-5</v>
      </c>
      <c r="AE274" s="8" t="str">
        <f t="shared" si="126"/>
        <v>Good</v>
      </c>
      <c r="AF274" s="8" t="str">
        <f t="shared" si="127"/>
        <v>Good</v>
      </c>
      <c r="AG274" s="7" t="str">
        <f t="shared" si="154"/>
        <v>Good</v>
      </c>
      <c r="AI274" s="100">
        <f t="shared" si="155"/>
        <v>28.998455547228982</v>
      </c>
      <c r="AJ274" s="100">
        <f t="shared" si="156"/>
        <v>47.683088647514879</v>
      </c>
    </row>
    <row r="275" spans="1:36" x14ac:dyDescent="0.2">
      <c r="A275" s="8">
        <v>28.962</v>
      </c>
      <c r="B275" s="100">
        <v>28.998458764999999</v>
      </c>
      <c r="C275" s="100">
        <v>47.683076266999997</v>
      </c>
      <c r="D275" s="101">
        <v>28962.241119829127</v>
      </c>
      <c r="E275" s="42" t="str">
        <f t="shared" si="128"/>
        <v/>
      </c>
      <c r="F275" s="7" t="str">
        <f t="shared" si="129"/>
        <v/>
      </c>
      <c r="G275" s="100" t="str">
        <f t="shared" si="130"/>
        <v/>
      </c>
      <c r="H275" s="100" t="str">
        <f t="shared" si="131"/>
        <v/>
      </c>
      <c r="I275" s="100" t="str">
        <f t="shared" si="132"/>
        <v/>
      </c>
      <c r="J275" s="100" t="str">
        <f t="shared" si="133"/>
        <v/>
      </c>
      <c r="K275" s="102" t="str">
        <f t="shared" si="134"/>
        <v/>
      </c>
      <c r="L275" s="103" t="str">
        <f t="shared" si="135"/>
        <v/>
      </c>
      <c r="M275" s="103" t="str">
        <f t="shared" si="136"/>
        <v/>
      </c>
      <c r="N275" s="103" t="str">
        <f t="shared" si="137"/>
        <v/>
      </c>
      <c r="O275" s="103" t="str">
        <f t="shared" si="138"/>
        <v/>
      </c>
      <c r="P275" s="105" t="str">
        <f t="shared" si="139"/>
        <v/>
      </c>
      <c r="Q275" s="105" t="str">
        <f t="shared" si="140"/>
        <v/>
      </c>
      <c r="R275" s="104" t="str">
        <f t="shared" si="141"/>
        <v/>
      </c>
      <c r="S275" s="104" t="str">
        <f t="shared" si="142"/>
        <v/>
      </c>
      <c r="T275" s="105" t="str">
        <f t="shared" si="143"/>
        <v/>
      </c>
      <c r="U275" s="14" t="str">
        <f t="shared" si="144"/>
        <v/>
      </c>
      <c r="V275" s="14" t="str">
        <f t="shared" si="145"/>
        <v/>
      </c>
      <c r="W275" s="103" t="str">
        <f t="shared" si="146"/>
        <v/>
      </c>
      <c r="X275" s="103" t="str">
        <f t="shared" si="147"/>
        <v/>
      </c>
      <c r="Y275" s="100" t="str">
        <f t="shared" si="148"/>
        <v/>
      </c>
      <c r="Z275" s="100" t="str">
        <f t="shared" si="149"/>
        <v/>
      </c>
      <c r="AA275" s="100" t="e">
        <f t="shared" si="150"/>
        <v>#VALUE!</v>
      </c>
      <c r="AB275" s="100" t="e">
        <f t="shared" si="151"/>
        <v>#VALUE!</v>
      </c>
      <c r="AC275" s="100" t="e">
        <f t="shared" si="152"/>
        <v>#VALUE!</v>
      </c>
      <c r="AD275" s="100" t="e">
        <f t="shared" si="153"/>
        <v>#VALUE!</v>
      </c>
      <c r="AE275" s="8" t="str">
        <f t="shared" si="126"/>
        <v/>
      </c>
      <c r="AF275" s="8" t="str">
        <f t="shared" si="127"/>
        <v/>
      </c>
      <c r="AG275" s="7" t="str">
        <f t="shared" si="154"/>
        <v>Good</v>
      </c>
      <c r="AI275" s="100">
        <f t="shared" si="155"/>
        <v>28.998458764999999</v>
      </c>
      <c r="AJ275" s="100">
        <f t="shared" si="156"/>
        <v>47.683076266999997</v>
      </c>
    </row>
    <row r="276" spans="1:36" x14ac:dyDescent="0.2">
      <c r="A276" s="8">
        <v>29.143000000000001</v>
      </c>
      <c r="B276" s="100">
        <v>28.998913469000001</v>
      </c>
      <c r="C276" s="100">
        <v>47.681294665999999</v>
      </c>
      <c r="D276" s="101">
        <v>29142.614060789754</v>
      </c>
      <c r="E276" s="42" t="str">
        <f t="shared" si="128"/>
        <v/>
      </c>
      <c r="F276" s="7" t="str">
        <f t="shared" si="129"/>
        <v/>
      </c>
      <c r="G276" s="100" t="str">
        <f t="shared" si="130"/>
        <v/>
      </c>
      <c r="H276" s="100" t="str">
        <f t="shared" si="131"/>
        <v/>
      </c>
      <c r="I276" s="100" t="str">
        <f t="shared" si="132"/>
        <v/>
      </c>
      <c r="J276" s="100" t="str">
        <f t="shared" si="133"/>
        <v/>
      </c>
      <c r="K276" s="102" t="str">
        <f t="shared" si="134"/>
        <v/>
      </c>
      <c r="L276" s="103" t="str">
        <f t="shared" si="135"/>
        <v/>
      </c>
      <c r="M276" s="103" t="str">
        <f t="shared" si="136"/>
        <v/>
      </c>
      <c r="N276" s="103" t="str">
        <f t="shared" si="137"/>
        <v/>
      </c>
      <c r="O276" s="103" t="str">
        <f t="shared" si="138"/>
        <v/>
      </c>
      <c r="P276" s="105" t="str">
        <f t="shared" si="139"/>
        <v/>
      </c>
      <c r="Q276" s="105" t="str">
        <f t="shared" si="140"/>
        <v/>
      </c>
      <c r="R276" s="104" t="str">
        <f t="shared" si="141"/>
        <v/>
      </c>
      <c r="S276" s="104" t="str">
        <f t="shared" si="142"/>
        <v/>
      </c>
      <c r="T276" s="105" t="str">
        <f t="shared" si="143"/>
        <v/>
      </c>
      <c r="U276" s="14" t="str">
        <f t="shared" si="144"/>
        <v/>
      </c>
      <c r="V276" s="14" t="str">
        <f t="shared" si="145"/>
        <v/>
      </c>
      <c r="W276" s="103" t="str">
        <f t="shared" si="146"/>
        <v/>
      </c>
      <c r="X276" s="103" t="str">
        <f t="shared" si="147"/>
        <v/>
      </c>
      <c r="Y276" s="100" t="str">
        <f t="shared" si="148"/>
        <v/>
      </c>
      <c r="Z276" s="100" t="str">
        <f t="shared" si="149"/>
        <v/>
      </c>
      <c r="AA276" s="100" t="e">
        <f t="shared" si="150"/>
        <v>#VALUE!</v>
      </c>
      <c r="AB276" s="100" t="e">
        <f t="shared" si="151"/>
        <v>#VALUE!</v>
      </c>
      <c r="AC276" s="100" t="e">
        <f t="shared" si="152"/>
        <v>#VALUE!</v>
      </c>
      <c r="AD276" s="100" t="e">
        <f t="shared" si="153"/>
        <v>#VALUE!</v>
      </c>
      <c r="AE276" s="8" t="str">
        <f t="shared" si="126"/>
        <v/>
      </c>
      <c r="AF276" s="8" t="str">
        <f t="shared" si="127"/>
        <v/>
      </c>
      <c r="AG276" s="7" t="str">
        <f t="shared" si="154"/>
        <v>Good</v>
      </c>
      <c r="AI276" s="100">
        <f t="shared" si="155"/>
        <v>28.998913469000001</v>
      </c>
      <c r="AJ276" s="100">
        <f t="shared" si="156"/>
        <v>47.681294665999999</v>
      </c>
    </row>
    <row r="277" spans="1:36" x14ac:dyDescent="0.2">
      <c r="A277" s="8">
        <v>29.359000000000002</v>
      </c>
      <c r="B277" s="100">
        <v>28.999466281</v>
      </c>
      <c r="C277" s="100">
        <v>47.679161946000001</v>
      </c>
      <c r="D277" s="101">
        <v>29358.80038126004</v>
      </c>
      <c r="E277" s="42" t="str">
        <f t="shared" si="128"/>
        <v/>
      </c>
      <c r="F277" s="7" t="str">
        <f t="shared" si="129"/>
        <v/>
      </c>
      <c r="G277" s="100" t="str">
        <f t="shared" si="130"/>
        <v/>
      </c>
      <c r="H277" s="100" t="str">
        <f t="shared" si="131"/>
        <v/>
      </c>
      <c r="I277" s="100" t="str">
        <f t="shared" si="132"/>
        <v/>
      </c>
      <c r="J277" s="100" t="str">
        <f t="shared" si="133"/>
        <v/>
      </c>
      <c r="K277" s="102" t="str">
        <f t="shared" si="134"/>
        <v/>
      </c>
      <c r="L277" s="103" t="str">
        <f t="shared" si="135"/>
        <v/>
      </c>
      <c r="M277" s="103" t="str">
        <f t="shared" si="136"/>
        <v/>
      </c>
      <c r="N277" s="103" t="str">
        <f t="shared" si="137"/>
        <v/>
      </c>
      <c r="O277" s="103" t="str">
        <f t="shared" si="138"/>
        <v/>
      </c>
      <c r="P277" s="105" t="str">
        <f t="shared" si="139"/>
        <v/>
      </c>
      <c r="Q277" s="105" t="str">
        <f t="shared" si="140"/>
        <v/>
      </c>
      <c r="R277" s="104" t="str">
        <f t="shared" si="141"/>
        <v/>
      </c>
      <c r="S277" s="104" t="str">
        <f t="shared" si="142"/>
        <v/>
      </c>
      <c r="T277" s="105" t="str">
        <f t="shared" si="143"/>
        <v/>
      </c>
      <c r="U277" s="14" t="str">
        <f t="shared" si="144"/>
        <v/>
      </c>
      <c r="V277" s="14" t="str">
        <f t="shared" si="145"/>
        <v/>
      </c>
      <c r="W277" s="103" t="str">
        <f t="shared" si="146"/>
        <v/>
      </c>
      <c r="X277" s="103" t="str">
        <f t="shared" si="147"/>
        <v/>
      </c>
      <c r="Y277" s="100" t="str">
        <f t="shared" si="148"/>
        <v/>
      </c>
      <c r="Z277" s="100" t="str">
        <f t="shared" si="149"/>
        <v/>
      </c>
      <c r="AA277" s="100" t="e">
        <f t="shared" si="150"/>
        <v>#VALUE!</v>
      </c>
      <c r="AB277" s="100" t="e">
        <f t="shared" si="151"/>
        <v>#VALUE!</v>
      </c>
      <c r="AC277" s="100" t="e">
        <f t="shared" si="152"/>
        <v>#VALUE!</v>
      </c>
      <c r="AD277" s="100" t="e">
        <f t="shared" si="153"/>
        <v>#VALUE!</v>
      </c>
      <c r="AE277" s="8" t="str">
        <f t="shared" si="126"/>
        <v/>
      </c>
      <c r="AF277" s="8" t="str">
        <f t="shared" si="127"/>
        <v/>
      </c>
      <c r="AG277" s="7" t="str">
        <f t="shared" si="154"/>
        <v>Good</v>
      </c>
      <c r="AI277" s="100">
        <f t="shared" si="155"/>
        <v>28.999466281</v>
      </c>
      <c r="AJ277" s="100">
        <f t="shared" si="156"/>
        <v>47.679161946000001</v>
      </c>
    </row>
    <row r="278" spans="1:36" x14ac:dyDescent="0.2">
      <c r="A278" s="8">
        <v>29.361000000000001</v>
      </c>
      <c r="B278" s="100">
        <v>28.999469673</v>
      </c>
      <c r="C278" s="100">
        <v>47.679144467</v>
      </c>
      <c r="D278" s="101">
        <v>29360.539397244309</v>
      </c>
      <c r="E278" s="42" t="str">
        <f t="shared" si="128"/>
        <v/>
      </c>
      <c r="F278" s="7" t="str">
        <f t="shared" si="129"/>
        <v/>
      </c>
      <c r="G278" s="100" t="str">
        <f t="shared" si="130"/>
        <v/>
      </c>
      <c r="H278" s="100" t="str">
        <f t="shared" si="131"/>
        <v/>
      </c>
      <c r="I278" s="100" t="str">
        <f t="shared" si="132"/>
        <v/>
      </c>
      <c r="J278" s="100" t="str">
        <f t="shared" si="133"/>
        <v/>
      </c>
      <c r="K278" s="102" t="str">
        <f t="shared" si="134"/>
        <v/>
      </c>
      <c r="L278" s="103" t="str">
        <f t="shared" si="135"/>
        <v/>
      </c>
      <c r="M278" s="103" t="str">
        <f t="shared" si="136"/>
        <v/>
      </c>
      <c r="N278" s="103" t="str">
        <f t="shared" si="137"/>
        <v/>
      </c>
      <c r="O278" s="103" t="str">
        <f t="shared" si="138"/>
        <v/>
      </c>
      <c r="P278" s="105" t="str">
        <f t="shared" si="139"/>
        <v/>
      </c>
      <c r="Q278" s="105" t="str">
        <f t="shared" si="140"/>
        <v/>
      </c>
      <c r="R278" s="104" t="str">
        <f t="shared" si="141"/>
        <v/>
      </c>
      <c r="S278" s="104" t="str">
        <f t="shared" si="142"/>
        <v/>
      </c>
      <c r="T278" s="105" t="str">
        <f t="shared" si="143"/>
        <v/>
      </c>
      <c r="U278" s="14" t="str">
        <f t="shared" si="144"/>
        <v/>
      </c>
      <c r="V278" s="14" t="str">
        <f t="shared" si="145"/>
        <v/>
      </c>
      <c r="W278" s="103" t="str">
        <f t="shared" si="146"/>
        <v/>
      </c>
      <c r="X278" s="103" t="str">
        <f t="shared" si="147"/>
        <v/>
      </c>
      <c r="Y278" s="100" t="str">
        <f t="shared" si="148"/>
        <v/>
      </c>
      <c r="Z278" s="100" t="str">
        <f t="shared" si="149"/>
        <v/>
      </c>
      <c r="AA278" s="100" t="e">
        <f t="shared" si="150"/>
        <v>#VALUE!</v>
      </c>
      <c r="AB278" s="100" t="e">
        <f t="shared" si="151"/>
        <v>#VALUE!</v>
      </c>
      <c r="AC278" s="100" t="e">
        <f t="shared" si="152"/>
        <v>#VALUE!</v>
      </c>
      <c r="AD278" s="100" t="e">
        <f t="shared" si="153"/>
        <v>#VALUE!</v>
      </c>
      <c r="AE278" s="8" t="str">
        <f t="shared" si="126"/>
        <v/>
      </c>
      <c r="AF278" s="8" t="str">
        <f t="shared" si="127"/>
        <v/>
      </c>
      <c r="AG278" s="7" t="str">
        <f t="shared" si="154"/>
        <v>Good</v>
      </c>
      <c r="AI278" s="100">
        <f t="shared" si="155"/>
        <v>28.999469673</v>
      </c>
      <c r="AJ278" s="100">
        <f t="shared" si="156"/>
        <v>47.679144467</v>
      </c>
    </row>
    <row r="279" spans="1:36" x14ac:dyDescent="0.2">
      <c r="A279" s="8">
        <v>29.855</v>
      </c>
      <c r="B279" s="100">
        <v>29.000729028999999</v>
      </c>
      <c r="C279" s="100">
        <v>47.674260787000001</v>
      </c>
      <c r="D279" s="101">
        <v>29855.371457158657</v>
      </c>
      <c r="E279" s="42" t="str">
        <f t="shared" si="128"/>
        <v/>
      </c>
      <c r="F279" s="7" t="str">
        <f t="shared" si="129"/>
        <v/>
      </c>
      <c r="G279" s="100" t="str">
        <f t="shared" si="130"/>
        <v/>
      </c>
      <c r="H279" s="100" t="str">
        <f t="shared" si="131"/>
        <v/>
      </c>
      <c r="I279" s="100" t="str">
        <f t="shared" si="132"/>
        <v/>
      </c>
      <c r="J279" s="100" t="str">
        <f t="shared" si="133"/>
        <v/>
      </c>
      <c r="K279" s="102" t="str">
        <f t="shared" si="134"/>
        <v/>
      </c>
      <c r="L279" s="103" t="str">
        <f t="shared" si="135"/>
        <v/>
      </c>
      <c r="M279" s="103" t="str">
        <f t="shared" si="136"/>
        <v/>
      </c>
      <c r="N279" s="103" t="str">
        <f t="shared" si="137"/>
        <v/>
      </c>
      <c r="O279" s="103" t="str">
        <f t="shared" si="138"/>
        <v/>
      </c>
      <c r="P279" s="105" t="str">
        <f t="shared" si="139"/>
        <v/>
      </c>
      <c r="Q279" s="105" t="str">
        <f t="shared" si="140"/>
        <v/>
      </c>
      <c r="R279" s="104" t="str">
        <f t="shared" si="141"/>
        <v/>
      </c>
      <c r="S279" s="104" t="str">
        <f t="shared" si="142"/>
        <v/>
      </c>
      <c r="T279" s="105" t="str">
        <f t="shared" si="143"/>
        <v/>
      </c>
      <c r="U279" s="14" t="str">
        <f t="shared" si="144"/>
        <v/>
      </c>
      <c r="V279" s="14" t="str">
        <f t="shared" si="145"/>
        <v/>
      </c>
      <c r="W279" s="103" t="str">
        <f t="shared" si="146"/>
        <v/>
      </c>
      <c r="X279" s="103" t="str">
        <f t="shared" si="147"/>
        <v/>
      </c>
      <c r="Y279" s="100" t="str">
        <f t="shared" si="148"/>
        <v/>
      </c>
      <c r="Z279" s="100" t="str">
        <f t="shared" si="149"/>
        <v/>
      </c>
      <c r="AA279" s="100" t="e">
        <f t="shared" si="150"/>
        <v>#VALUE!</v>
      </c>
      <c r="AB279" s="100" t="e">
        <f t="shared" si="151"/>
        <v>#VALUE!</v>
      </c>
      <c r="AC279" s="100" t="e">
        <f t="shared" si="152"/>
        <v>#VALUE!</v>
      </c>
      <c r="AD279" s="100" t="e">
        <f t="shared" si="153"/>
        <v>#VALUE!</v>
      </c>
      <c r="AE279" s="8" t="str">
        <f t="shared" si="126"/>
        <v/>
      </c>
      <c r="AF279" s="8" t="str">
        <f t="shared" si="127"/>
        <v/>
      </c>
      <c r="AG279" s="7" t="str">
        <f t="shared" si="154"/>
        <v>Good</v>
      </c>
      <c r="AI279" s="100">
        <f t="shared" si="155"/>
        <v>29.000729028999999</v>
      </c>
      <c r="AJ279" s="100">
        <f t="shared" si="156"/>
        <v>47.674260787000001</v>
      </c>
    </row>
    <row r="280" spans="1:36" x14ac:dyDescent="0.2">
      <c r="A280" s="8">
        <v>29.856000000000002</v>
      </c>
      <c r="D280" s="101">
        <v>29856</v>
      </c>
      <c r="E280" s="42">
        <f t="shared" si="128"/>
        <v>0.62854284134300542</v>
      </c>
      <c r="F280" s="7">
        <f t="shared" si="129"/>
        <v>1</v>
      </c>
      <c r="G280" s="100">
        <f t="shared" si="130"/>
        <v>29.000729028999999</v>
      </c>
      <c r="H280" s="100">
        <f t="shared" si="131"/>
        <v>47.674260787000001</v>
      </c>
      <c r="I280" s="100">
        <f t="shared" si="132"/>
        <v>29.002093630000001</v>
      </c>
      <c r="J280" s="100">
        <f t="shared" si="133"/>
        <v>47.668979895</v>
      </c>
      <c r="K280" s="102">
        <f t="shared" si="134"/>
        <v>38</v>
      </c>
      <c r="L280" s="103">
        <f t="shared" si="135"/>
        <v>3211015.4061039235</v>
      </c>
      <c r="M280" s="103">
        <f t="shared" si="136"/>
        <v>760521.47743090242</v>
      </c>
      <c r="N280" s="103">
        <f t="shared" si="137"/>
        <v>3211155.0367273232</v>
      </c>
      <c r="O280" s="103">
        <f t="shared" si="138"/>
        <v>760003.40507394017</v>
      </c>
      <c r="P280" s="105">
        <f t="shared" si="139"/>
        <v>139.63062339974567</v>
      </c>
      <c r="Q280" s="105">
        <f t="shared" si="140"/>
        <v>-518.07235696224961</v>
      </c>
      <c r="R280" s="104">
        <f t="shared" si="141"/>
        <v>536.55910954844683</v>
      </c>
      <c r="S280" s="104" t="str">
        <f t="shared" si="142"/>
        <v>NW</v>
      </c>
      <c r="T280" s="105">
        <f t="shared" si="143"/>
        <v>0.26326396612169534</v>
      </c>
      <c r="U280" s="14">
        <f t="shared" si="144"/>
        <v>-0.60688685639940365</v>
      </c>
      <c r="V280" s="14">
        <f t="shared" si="145"/>
        <v>0.1635678664444461</v>
      </c>
      <c r="W280" s="103">
        <f t="shared" si="146"/>
        <v>3211015.5696717901</v>
      </c>
      <c r="X280" s="103">
        <f t="shared" si="147"/>
        <v>760520.87054404605</v>
      </c>
      <c r="Y280" s="100">
        <f t="shared" si="148"/>
        <v>29.000730600335931</v>
      </c>
      <c r="Z280" s="100">
        <f t="shared" si="149"/>
        <v>47.67425460138265</v>
      </c>
      <c r="AA280" s="100">
        <f t="shared" si="150"/>
        <v>-1.5713359324820431E-6</v>
      </c>
      <c r="AB280" s="100">
        <f t="shared" si="151"/>
        <v>-1.3630296640698703E-3</v>
      </c>
      <c r="AC280" s="100">
        <f t="shared" si="152"/>
        <v>6.1856173516616764E-6</v>
      </c>
      <c r="AD280" s="100">
        <f t="shared" si="153"/>
        <v>5.2747063826501517E-3</v>
      </c>
      <c r="AE280" s="8" t="str">
        <f t="shared" si="126"/>
        <v>Good</v>
      </c>
      <c r="AF280" s="8" t="str">
        <f t="shared" si="127"/>
        <v>Good</v>
      </c>
      <c r="AG280" s="7" t="str">
        <f t="shared" si="154"/>
        <v>Good</v>
      </c>
      <c r="AI280" s="100">
        <f t="shared" si="155"/>
        <v>29.000730600335931</v>
      </c>
      <c r="AJ280" s="100">
        <f t="shared" si="156"/>
        <v>47.67425460138265</v>
      </c>
    </row>
    <row r="281" spans="1:36" x14ac:dyDescent="0.2">
      <c r="A281" s="8">
        <v>30.390999999999998</v>
      </c>
      <c r="B281" s="100">
        <v>29.002093630000001</v>
      </c>
      <c r="C281" s="100">
        <v>47.668979895</v>
      </c>
      <c r="D281" s="101">
        <v>30390.532789099827</v>
      </c>
      <c r="E281" s="42" t="str">
        <f t="shared" si="128"/>
        <v/>
      </c>
      <c r="F281" s="7" t="str">
        <f t="shared" si="129"/>
        <v/>
      </c>
      <c r="G281" s="100" t="str">
        <f t="shared" si="130"/>
        <v/>
      </c>
      <c r="H281" s="100" t="str">
        <f t="shared" si="131"/>
        <v/>
      </c>
      <c r="I281" s="100" t="str">
        <f t="shared" si="132"/>
        <v/>
      </c>
      <c r="J281" s="100" t="str">
        <f t="shared" si="133"/>
        <v/>
      </c>
      <c r="K281" s="102" t="str">
        <f t="shared" si="134"/>
        <v/>
      </c>
      <c r="L281" s="103" t="str">
        <f t="shared" si="135"/>
        <v/>
      </c>
      <c r="M281" s="103" t="str">
        <f t="shared" si="136"/>
        <v/>
      </c>
      <c r="N281" s="103" t="str">
        <f t="shared" si="137"/>
        <v/>
      </c>
      <c r="O281" s="103" t="str">
        <f t="shared" si="138"/>
        <v/>
      </c>
      <c r="P281" s="105" t="str">
        <f t="shared" si="139"/>
        <v/>
      </c>
      <c r="Q281" s="105" t="str">
        <f t="shared" si="140"/>
        <v/>
      </c>
      <c r="R281" s="104" t="str">
        <f t="shared" si="141"/>
        <v/>
      </c>
      <c r="S281" s="104" t="str">
        <f t="shared" si="142"/>
        <v/>
      </c>
      <c r="T281" s="105" t="str">
        <f t="shared" si="143"/>
        <v/>
      </c>
      <c r="U281" s="14" t="str">
        <f t="shared" si="144"/>
        <v/>
      </c>
      <c r="V281" s="14" t="str">
        <f t="shared" si="145"/>
        <v/>
      </c>
      <c r="W281" s="103" t="str">
        <f t="shared" si="146"/>
        <v/>
      </c>
      <c r="X281" s="103" t="str">
        <f t="shared" si="147"/>
        <v/>
      </c>
      <c r="Y281" s="100" t="str">
        <f t="shared" si="148"/>
        <v/>
      </c>
      <c r="Z281" s="100" t="str">
        <f t="shared" si="149"/>
        <v/>
      </c>
      <c r="AA281" s="100" t="e">
        <f t="shared" si="150"/>
        <v>#VALUE!</v>
      </c>
      <c r="AB281" s="100" t="e">
        <f t="shared" si="151"/>
        <v>#VALUE!</v>
      </c>
      <c r="AC281" s="100" t="e">
        <f t="shared" si="152"/>
        <v>#VALUE!</v>
      </c>
      <c r="AD281" s="100" t="e">
        <f t="shared" si="153"/>
        <v>#VALUE!</v>
      </c>
      <c r="AE281" s="8" t="str">
        <f t="shared" si="126"/>
        <v/>
      </c>
      <c r="AF281" s="8" t="str">
        <f t="shared" si="127"/>
        <v/>
      </c>
      <c r="AG281" s="7" t="str">
        <f t="shared" si="154"/>
        <v>Good</v>
      </c>
      <c r="AI281" s="100">
        <f t="shared" si="155"/>
        <v>29.002093630000001</v>
      </c>
      <c r="AJ281" s="100">
        <f t="shared" si="156"/>
        <v>47.668979895</v>
      </c>
    </row>
    <row r="282" spans="1:36" x14ac:dyDescent="0.2">
      <c r="A282" s="8">
        <v>30.483000000000001</v>
      </c>
      <c r="B282" s="100">
        <v>29.002328624</v>
      </c>
      <c r="C282" s="100">
        <v>47.668062028999998</v>
      </c>
      <c r="D282" s="101">
        <v>30483.479405360144</v>
      </c>
      <c r="E282" s="42" t="str">
        <f t="shared" si="128"/>
        <v/>
      </c>
      <c r="F282" s="7" t="str">
        <f t="shared" si="129"/>
        <v/>
      </c>
      <c r="G282" s="100" t="str">
        <f t="shared" si="130"/>
        <v/>
      </c>
      <c r="H282" s="100" t="str">
        <f t="shared" si="131"/>
        <v/>
      </c>
      <c r="I282" s="100" t="str">
        <f t="shared" si="132"/>
        <v/>
      </c>
      <c r="J282" s="100" t="str">
        <f t="shared" si="133"/>
        <v/>
      </c>
      <c r="K282" s="102" t="str">
        <f t="shared" si="134"/>
        <v/>
      </c>
      <c r="L282" s="103" t="str">
        <f t="shared" si="135"/>
        <v/>
      </c>
      <c r="M282" s="103" t="str">
        <f t="shared" si="136"/>
        <v/>
      </c>
      <c r="N282" s="103" t="str">
        <f t="shared" si="137"/>
        <v/>
      </c>
      <c r="O282" s="103" t="str">
        <f t="shared" si="138"/>
        <v/>
      </c>
      <c r="P282" s="105" t="str">
        <f t="shared" si="139"/>
        <v/>
      </c>
      <c r="Q282" s="105" t="str">
        <f t="shared" si="140"/>
        <v/>
      </c>
      <c r="R282" s="104" t="str">
        <f t="shared" si="141"/>
        <v/>
      </c>
      <c r="S282" s="104" t="str">
        <f t="shared" si="142"/>
        <v/>
      </c>
      <c r="T282" s="105" t="str">
        <f t="shared" si="143"/>
        <v/>
      </c>
      <c r="U282" s="14" t="str">
        <f t="shared" si="144"/>
        <v/>
      </c>
      <c r="V282" s="14" t="str">
        <f t="shared" si="145"/>
        <v/>
      </c>
      <c r="W282" s="103" t="str">
        <f t="shared" si="146"/>
        <v/>
      </c>
      <c r="X282" s="103" t="str">
        <f t="shared" si="147"/>
        <v/>
      </c>
      <c r="Y282" s="100" t="str">
        <f t="shared" si="148"/>
        <v/>
      </c>
      <c r="Z282" s="100" t="str">
        <f t="shared" si="149"/>
        <v/>
      </c>
      <c r="AA282" s="100" t="e">
        <f t="shared" si="150"/>
        <v>#VALUE!</v>
      </c>
      <c r="AB282" s="100" t="e">
        <f t="shared" si="151"/>
        <v>#VALUE!</v>
      </c>
      <c r="AC282" s="100" t="e">
        <f t="shared" si="152"/>
        <v>#VALUE!</v>
      </c>
      <c r="AD282" s="100" t="e">
        <f t="shared" si="153"/>
        <v>#VALUE!</v>
      </c>
      <c r="AE282" s="8" t="str">
        <f t="shared" si="126"/>
        <v/>
      </c>
      <c r="AF282" s="8" t="str">
        <f t="shared" si="127"/>
        <v/>
      </c>
      <c r="AG282" s="7" t="str">
        <f t="shared" si="154"/>
        <v>Good</v>
      </c>
      <c r="AI282" s="100">
        <f t="shared" si="155"/>
        <v>29.002328624</v>
      </c>
      <c r="AJ282" s="100">
        <f t="shared" si="156"/>
        <v>47.668062028999998</v>
      </c>
    </row>
    <row r="283" spans="1:36" x14ac:dyDescent="0.2">
      <c r="A283" s="8">
        <v>30.960999999999999</v>
      </c>
      <c r="D283" s="101">
        <v>30961</v>
      </c>
      <c r="E283" s="42">
        <f t="shared" si="128"/>
        <v>477.52059463985643</v>
      </c>
      <c r="F283" s="7">
        <f t="shared" si="129"/>
        <v>1</v>
      </c>
      <c r="G283" s="100">
        <f t="shared" si="130"/>
        <v>29.002328624</v>
      </c>
      <c r="H283" s="100">
        <f t="shared" si="131"/>
        <v>47.668062028999998</v>
      </c>
      <c r="I283" s="100">
        <f t="shared" si="132"/>
        <v>29.003590935999998</v>
      </c>
      <c r="J283" s="100">
        <f t="shared" si="133"/>
        <v>47.663152449000002</v>
      </c>
      <c r="K283" s="102">
        <f t="shared" si="134"/>
        <v>38</v>
      </c>
      <c r="L283" s="103">
        <f t="shared" si="135"/>
        <v>3211179.0657500876</v>
      </c>
      <c r="M283" s="103">
        <f t="shared" si="136"/>
        <v>759913.36645409151</v>
      </c>
      <c r="N283" s="103">
        <f t="shared" si="137"/>
        <v>3211308.1994362203</v>
      </c>
      <c r="O283" s="103">
        <f t="shared" si="138"/>
        <v>759431.75228372205</v>
      </c>
      <c r="P283" s="105">
        <f t="shared" si="139"/>
        <v>129.13368613272905</v>
      </c>
      <c r="Q283" s="105">
        <f t="shared" si="140"/>
        <v>-481.61417036945932</v>
      </c>
      <c r="R283" s="104">
        <f t="shared" si="141"/>
        <v>498.62582965074</v>
      </c>
      <c r="S283" s="104" t="str">
        <f t="shared" si="142"/>
        <v>NW</v>
      </c>
      <c r="T283" s="105">
        <f t="shared" si="143"/>
        <v>0.26196512890622276</v>
      </c>
      <c r="U283" s="14">
        <f t="shared" si="144"/>
        <v>-461.22898443286454</v>
      </c>
      <c r="V283" s="14">
        <f t="shared" si="145"/>
        <v>123.66787062220504</v>
      </c>
      <c r="W283" s="103">
        <f t="shared" si="146"/>
        <v>3211302.7336207097</v>
      </c>
      <c r="X283" s="103">
        <f t="shared" si="147"/>
        <v>759452.13746965863</v>
      </c>
      <c r="Y283" s="100">
        <f t="shared" si="148"/>
        <v>29.003537482366955</v>
      </c>
      <c r="Z283" s="100">
        <f t="shared" si="149"/>
        <v>47.663360258970236</v>
      </c>
      <c r="AA283" s="100">
        <f t="shared" si="150"/>
        <v>-1.2088583669545017E-3</v>
      </c>
      <c r="AB283" s="100">
        <f t="shared" si="151"/>
        <v>-5.3453633043432092E-5</v>
      </c>
      <c r="AC283" s="100">
        <f t="shared" si="152"/>
        <v>4.7017700297615761E-3</v>
      </c>
      <c r="AD283" s="100">
        <f t="shared" si="153"/>
        <v>2.0780997023450709E-4</v>
      </c>
      <c r="AE283" s="8" t="str">
        <f t="shared" si="126"/>
        <v>Good</v>
      </c>
      <c r="AF283" s="8" t="str">
        <f t="shared" si="127"/>
        <v>Good</v>
      </c>
      <c r="AG283" s="7" t="str">
        <f t="shared" si="154"/>
        <v>Good</v>
      </c>
      <c r="AI283" s="100">
        <f t="shared" si="155"/>
        <v>29.003537482366955</v>
      </c>
      <c r="AJ283" s="100">
        <f t="shared" si="156"/>
        <v>47.663360258970236</v>
      </c>
    </row>
    <row r="284" spans="1:36" x14ac:dyDescent="0.2">
      <c r="A284" s="8">
        <v>30.981000000000002</v>
      </c>
      <c r="B284" s="100">
        <v>29.003590935999998</v>
      </c>
      <c r="C284" s="100">
        <v>47.663152449000002</v>
      </c>
      <c r="D284" s="101">
        <v>30980.806234578016</v>
      </c>
      <c r="E284" s="42" t="str">
        <f t="shared" si="128"/>
        <v/>
      </c>
      <c r="F284" s="7" t="str">
        <f t="shared" si="129"/>
        <v/>
      </c>
      <c r="G284" s="100" t="str">
        <f t="shared" si="130"/>
        <v/>
      </c>
      <c r="H284" s="100" t="str">
        <f t="shared" si="131"/>
        <v/>
      </c>
      <c r="I284" s="100" t="str">
        <f t="shared" si="132"/>
        <v/>
      </c>
      <c r="J284" s="100" t="str">
        <f t="shared" si="133"/>
        <v/>
      </c>
      <c r="K284" s="102" t="str">
        <f t="shared" si="134"/>
        <v/>
      </c>
      <c r="L284" s="103" t="str">
        <f t="shared" si="135"/>
        <v/>
      </c>
      <c r="M284" s="103" t="str">
        <f t="shared" si="136"/>
        <v/>
      </c>
      <c r="N284" s="103" t="str">
        <f t="shared" si="137"/>
        <v/>
      </c>
      <c r="O284" s="103" t="str">
        <f t="shared" si="138"/>
        <v/>
      </c>
      <c r="P284" s="105" t="str">
        <f t="shared" si="139"/>
        <v/>
      </c>
      <c r="Q284" s="105" t="str">
        <f t="shared" si="140"/>
        <v/>
      </c>
      <c r="R284" s="104" t="str">
        <f t="shared" si="141"/>
        <v/>
      </c>
      <c r="S284" s="104" t="str">
        <f t="shared" si="142"/>
        <v/>
      </c>
      <c r="T284" s="105" t="str">
        <f t="shared" si="143"/>
        <v/>
      </c>
      <c r="U284" s="14" t="str">
        <f t="shared" si="144"/>
        <v/>
      </c>
      <c r="V284" s="14" t="str">
        <f t="shared" si="145"/>
        <v/>
      </c>
      <c r="W284" s="103" t="str">
        <f t="shared" si="146"/>
        <v/>
      </c>
      <c r="X284" s="103" t="str">
        <f t="shared" si="147"/>
        <v/>
      </c>
      <c r="Y284" s="100" t="str">
        <f t="shared" si="148"/>
        <v/>
      </c>
      <c r="Z284" s="100" t="str">
        <f t="shared" si="149"/>
        <v/>
      </c>
      <c r="AA284" s="100" t="e">
        <f t="shared" si="150"/>
        <v>#VALUE!</v>
      </c>
      <c r="AB284" s="100" t="e">
        <f t="shared" si="151"/>
        <v>#VALUE!</v>
      </c>
      <c r="AC284" s="100" t="e">
        <f t="shared" si="152"/>
        <v>#VALUE!</v>
      </c>
      <c r="AD284" s="100" t="e">
        <f t="shared" si="153"/>
        <v>#VALUE!</v>
      </c>
      <c r="AE284" s="8" t="str">
        <f t="shared" si="126"/>
        <v/>
      </c>
      <c r="AF284" s="8" t="str">
        <f t="shared" si="127"/>
        <v/>
      </c>
      <c r="AG284" s="7" t="str">
        <f t="shared" si="154"/>
        <v>Good</v>
      </c>
      <c r="AI284" s="100">
        <f t="shared" si="155"/>
        <v>29.003590935999998</v>
      </c>
      <c r="AJ284" s="100">
        <f t="shared" si="156"/>
        <v>47.663152449000002</v>
      </c>
    </row>
    <row r="285" spans="1:36" x14ac:dyDescent="0.2">
      <c r="A285" s="8">
        <v>31.286000000000001</v>
      </c>
      <c r="B285" s="100">
        <v>29.004349564999998</v>
      </c>
      <c r="C285" s="100">
        <v>47.660134217</v>
      </c>
      <c r="D285" s="101">
        <v>31286.002478254824</v>
      </c>
      <c r="E285" s="42" t="str">
        <f t="shared" si="128"/>
        <v/>
      </c>
      <c r="F285" s="7" t="str">
        <f t="shared" si="129"/>
        <v/>
      </c>
      <c r="G285" s="100" t="str">
        <f t="shared" si="130"/>
        <v/>
      </c>
      <c r="H285" s="100" t="str">
        <f t="shared" si="131"/>
        <v/>
      </c>
      <c r="I285" s="100" t="str">
        <f t="shared" si="132"/>
        <v/>
      </c>
      <c r="J285" s="100" t="str">
        <f t="shared" si="133"/>
        <v/>
      </c>
      <c r="K285" s="102" t="str">
        <f t="shared" si="134"/>
        <v/>
      </c>
      <c r="L285" s="103" t="str">
        <f t="shared" si="135"/>
        <v/>
      </c>
      <c r="M285" s="103" t="str">
        <f t="shared" si="136"/>
        <v/>
      </c>
      <c r="N285" s="103" t="str">
        <f t="shared" si="137"/>
        <v/>
      </c>
      <c r="O285" s="103" t="str">
        <f t="shared" si="138"/>
        <v/>
      </c>
      <c r="P285" s="105" t="str">
        <f t="shared" si="139"/>
        <v/>
      </c>
      <c r="Q285" s="105" t="str">
        <f t="shared" si="140"/>
        <v/>
      </c>
      <c r="R285" s="104" t="str">
        <f t="shared" si="141"/>
        <v/>
      </c>
      <c r="S285" s="104" t="str">
        <f t="shared" si="142"/>
        <v/>
      </c>
      <c r="T285" s="105" t="str">
        <f t="shared" si="143"/>
        <v/>
      </c>
      <c r="U285" s="14" t="str">
        <f t="shared" si="144"/>
        <v/>
      </c>
      <c r="V285" s="14" t="str">
        <f t="shared" si="145"/>
        <v/>
      </c>
      <c r="W285" s="103" t="str">
        <f t="shared" si="146"/>
        <v/>
      </c>
      <c r="X285" s="103" t="str">
        <f t="shared" si="147"/>
        <v/>
      </c>
      <c r="Y285" s="100" t="str">
        <f t="shared" si="148"/>
        <v/>
      </c>
      <c r="Z285" s="100" t="str">
        <f t="shared" si="149"/>
        <v/>
      </c>
      <c r="AA285" s="100" t="e">
        <f t="shared" si="150"/>
        <v>#VALUE!</v>
      </c>
      <c r="AB285" s="100" t="e">
        <f t="shared" si="151"/>
        <v>#VALUE!</v>
      </c>
      <c r="AC285" s="100" t="e">
        <f t="shared" si="152"/>
        <v>#VALUE!</v>
      </c>
      <c r="AD285" s="100" t="e">
        <f t="shared" si="153"/>
        <v>#VALUE!</v>
      </c>
      <c r="AE285" s="8" t="str">
        <f t="shared" si="126"/>
        <v/>
      </c>
      <c r="AF285" s="8" t="str">
        <f t="shared" si="127"/>
        <v/>
      </c>
      <c r="AG285" s="7" t="str">
        <f t="shared" si="154"/>
        <v>Good</v>
      </c>
      <c r="AI285" s="100">
        <f t="shared" si="155"/>
        <v>29.004349564999998</v>
      </c>
      <c r="AJ285" s="100">
        <f t="shared" si="156"/>
        <v>47.660134217</v>
      </c>
    </row>
    <row r="286" spans="1:36" x14ac:dyDescent="0.2">
      <c r="A286" s="8">
        <v>31.382000000000001</v>
      </c>
      <c r="B286" s="100">
        <v>29.004613698</v>
      </c>
      <c r="C286" s="100">
        <v>47.659192361999999</v>
      </c>
      <c r="D286" s="101">
        <v>31382.125584449761</v>
      </c>
      <c r="E286" s="42" t="str">
        <f t="shared" si="128"/>
        <v/>
      </c>
      <c r="F286" s="7" t="str">
        <f t="shared" si="129"/>
        <v/>
      </c>
      <c r="G286" s="100" t="str">
        <f t="shared" si="130"/>
        <v/>
      </c>
      <c r="H286" s="100" t="str">
        <f t="shared" si="131"/>
        <v/>
      </c>
      <c r="I286" s="100" t="str">
        <f t="shared" si="132"/>
        <v/>
      </c>
      <c r="J286" s="100" t="str">
        <f t="shared" si="133"/>
        <v/>
      </c>
      <c r="K286" s="102" t="str">
        <f t="shared" si="134"/>
        <v/>
      </c>
      <c r="L286" s="103" t="str">
        <f t="shared" si="135"/>
        <v/>
      </c>
      <c r="M286" s="103" t="str">
        <f t="shared" si="136"/>
        <v/>
      </c>
      <c r="N286" s="103" t="str">
        <f t="shared" si="137"/>
        <v/>
      </c>
      <c r="O286" s="103" t="str">
        <f t="shared" si="138"/>
        <v/>
      </c>
      <c r="P286" s="105" t="str">
        <f t="shared" si="139"/>
        <v/>
      </c>
      <c r="Q286" s="105" t="str">
        <f t="shared" si="140"/>
        <v/>
      </c>
      <c r="R286" s="104" t="str">
        <f t="shared" si="141"/>
        <v/>
      </c>
      <c r="S286" s="104" t="str">
        <f t="shared" si="142"/>
        <v/>
      </c>
      <c r="T286" s="105" t="str">
        <f t="shared" si="143"/>
        <v/>
      </c>
      <c r="U286" s="14" t="str">
        <f t="shared" si="144"/>
        <v/>
      </c>
      <c r="V286" s="14" t="str">
        <f t="shared" si="145"/>
        <v/>
      </c>
      <c r="W286" s="103" t="str">
        <f t="shared" si="146"/>
        <v/>
      </c>
      <c r="X286" s="103" t="str">
        <f t="shared" si="147"/>
        <v/>
      </c>
      <c r="Y286" s="100" t="str">
        <f t="shared" si="148"/>
        <v/>
      </c>
      <c r="Z286" s="100" t="str">
        <f t="shared" si="149"/>
        <v/>
      </c>
      <c r="AA286" s="100" t="e">
        <f t="shared" si="150"/>
        <v>#VALUE!</v>
      </c>
      <c r="AB286" s="100" t="e">
        <f t="shared" si="151"/>
        <v>#VALUE!</v>
      </c>
      <c r="AC286" s="100" t="e">
        <f t="shared" si="152"/>
        <v>#VALUE!</v>
      </c>
      <c r="AD286" s="100" t="e">
        <f t="shared" si="153"/>
        <v>#VALUE!</v>
      </c>
      <c r="AE286" s="8" t="str">
        <f t="shared" si="126"/>
        <v/>
      </c>
      <c r="AF286" s="8" t="str">
        <f t="shared" si="127"/>
        <v/>
      </c>
      <c r="AG286" s="7" t="str">
        <f t="shared" si="154"/>
        <v>Good</v>
      </c>
      <c r="AI286" s="100">
        <f t="shared" si="155"/>
        <v>29.004613698</v>
      </c>
      <c r="AJ286" s="100">
        <f t="shared" si="156"/>
        <v>47.659192361999999</v>
      </c>
    </row>
    <row r="287" spans="1:36" x14ac:dyDescent="0.2">
      <c r="A287" s="8">
        <v>31.73</v>
      </c>
      <c r="B287" s="100">
        <v>29.005503592</v>
      </c>
      <c r="C287" s="100">
        <v>47.655756807000003</v>
      </c>
      <c r="D287" s="101">
        <v>31730.337934123705</v>
      </c>
      <c r="E287" s="42" t="str">
        <f t="shared" si="128"/>
        <v/>
      </c>
      <c r="F287" s="7" t="str">
        <f t="shared" si="129"/>
        <v/>
      </c>
      <c r="G287" s="100" t="str">
        <f t="shared" si="130"/>
        <v/>
      </c>
      <c r="H287" s="100" t="str">
        <f t="shared" si="131"/>
        <v/>
      </c>
      <c r="I287" s="100" t="str">
        <f t="shared" si="132"/>
        <v/>
      </c>
      <c r="J287" s="100" t="str">
        <f t="shared" si="133"/>
        <v/>
      </c>
      <c r="K287" s="102" t="str">
        <f t="shared" si="134"/>
        <v/>
      </c>
      <c r="L287" s="103" t="str">
        <f t="shared" si="135"/>
        <v/>
      </c>
      <c r="M287" s="103" t="str">
        <f t="shared" si="136"/>
        <v/>
      </c>
      <c r="N287" s="103" t="str">
        <f t="shared" si="137"/>
        <v/>
      </c>
      <c r="O287" s="103" t="str">
        <f t="shared" si="138"/>
        <v/>
      </c>
      <c r="P287" s="105" t="str">
        <f t="shared" si="139"/>
        <v/>
      </c>
      <c r="Q287" s="105" t="str">
        <f t="shared" si="140"/>
        <v/>
      </c>
      <c r="R287" s="104" t="str">
        <f t="shared" si="141"/>
        <v/>
      </c>
      <c r="S287" s="104" t="str">
        <f t="shared" si="142"/>
        <v/>
      </c>
      <c r="T287" s="105" t="str">
        <f t="shared" si="143"/>
        <v/>
      </c>
      <c r="U287" s="14" t="str">
        <f t="shared" si="144"/>
        <v/>
      </c>
      <c r="V287" s="14" t="str">
        <f t="shared" si="145"/>
        <v/>
      </c>
      <c r="W287" s="103" t="str">
        <f t="shared" si="146"/>
        <v/>
      </c>
      <c r="X287" s="103" t="str">
        <f t="shared" si="147"/>
        <v/>
      </c>
      <c r="Y287" s="100" t="str">
        <f t="shared" si="148"/>
        <v/>
      </c>
      <c r="Z287" s="100" t="str">
        <f t="shared" si="149"/>
        <v/>
      </c>
      <c r="AA287" s="100" t="e">
        <f t="shared" si="150"/>
        <v>#VALUE!</v>
      </c>
      <c r="AB287" s="100" t="e">
        <f t="shared" si="151"/>
        <v>#VALUE!</v>
      </c>
      <c r="AC287" s="100" t="e">
        <f t="shared" si="152"/>
        <v>#VALUE!</v>
      </c>
      <c r="AD287" s="100" t="e">
        <f t="shared" si="153"/>
        <v>#VALUE!</v>
      </c>
      <c r="AE287" s="8" t="str">
        <f t="shared" si="126"/>
        <v/>
      </c>
      <c r="AF287" s="8" t="str">
        <f t="shared" si="127"/>
        <v/>
      </c>
      <c r="AG287" s="7" t="str">
        <f t="shared" si="154"/>
        <v>Good</v>
      </c>
      <c r="AI287" s="100">
        <f t="shared" si="155"/>
        <v>29.005503592</v>
      </c>
      <c r="AJ287" s="100">
        <f t="shared" si="156"/>
        <v>47.655756807000003</v>
      </c>
    </row>
    <row r="288" spans="1:36" x14ac:dyDescent="0.2">
      <c r="A288" s="8">
        <v>31.832000000000001</v>
      </c>
      <c r="D288" s="101">
        <v>31832</v>
      </c>
      <c r="E288" s="42">
        <f t="shared" si="128"/>
        <v>101.66206587629495</v>
      </c>
      <c r="F288" s="7">
        <f t="shared" si="129"/>
        <v>1</v>
      </c>
      <c r="G288" s="100">
        <f t="shared" si="130"/>
        <v>29.005503592</v>
      </c>
      <c r="H288" s="100">
        <f t="shared" si="131"/>
        <v>47.655756807000003</v>
      </c>
      <c r="I288" s="100">
        <f t="shared" si="132"/>
        <v>29.005747131</v>
      </c>
      <c r="J288" s="100">
        <f t="shared" si="133"/>
        <v>47.654734322000003</v>
      </c>
      <c r="K288" s="102">
        <f t="shared" si="134"/>
        <v>38</v>
      </c>
      <c r="L288" s="103">
        <f t="shared" si="135"/>
        <v>3211503.9948287527</v>
      </c>
      <c r="M288" s="103">
        <f t="shared" si="136"/>
        <v>758706.25925401831</v>
      </c>
      <c r="N288" s="103">
        <f t="shared" si="137"/>
        <v>3211528.7516346569</v>
      </c>
      <c r="O288" s="103">
        <f t="shared" si="138"/>
        <v>758606.01049808797</v>
      </c>
      <c r="P288" s="105">
        <f t="shared" si="139"/>
        <v>24.756805904209614</v>
      </c>
      <c r="Q288" s="105">
        <f t="shared" si="140"/>
        <v>-100.24875593034085</v>
      </c>
      <c r="R288" s="104">
        <f t="shared" si="141"/>
        <v>103.26041111752247</v>
      </c>
      <c r="S288" s="104" t="str">
        <f t="shared" si="142"/>
        <v>NW</v>
      </c>
      <c r="T288" s="105">
        <f t="shared" si="143"/>
        <v>0.24210955282198524</v>
      </c>
      <c r="U288" s="14">
        <f t="shared" si="144"/>
        <v>-98.697027438790712</v>
      </c>
      <c r="V288" s="14">
        <f t="shared" si="145"/>
        <v>24.373600738970133</v>
      </c>
      <c r="W288" s="103">
        <f t="shared" si="146"/>
        <v>3211528.3684294918</v>
      </c>
      <c r="X288" s="103">
        <f t="shared" si="147"/>
        <v>758607.56222657952</v>
      </c>
      <c r="Y288" s="100">
        <f t="shared" si="148"/>
        <v>29.005743333737829</v>
      </c>
      <c r="Z288" s="100">
        <f t="shared" si="149"/>
        <v>47.654750149300618</v>
      </c>
      <c r="AA288" s="100">
        <f t="shared" si="150"/>
        <v>-2.3974173782903563E-4</v>
      </c>
      <c r="AB288" s="100">
        <f t="shared" si="151"/>
        <v>-3.7972621704795984E-6</v>
      </c>
      <c r="AC288" s="100">
        <f t="shared" si="152"/>
        <v>1.0066576993850163E-3</v>
      </c>
      <c r="AD288" s="100">
        <f t="shared" si="153"/>
        <v>1.582730061500115E-5</v>
      </c>
      <c r="AE288" s="8" t="str">
        <f t="shared" si="126"/>
        <v>Good</v>
      </c>
      <c r="AF288" s="8" t="str">
        <f t="shared" si="127"/>
        <v>Good</v>
      </c>
      <c r="AG288" s="7" t="str">
        <f t="shared" si="154"/>
        <v>Good</v>
      </c>
      <c r="AI288" s="100">
        <f t="shared" si="155"/>
        <v>29.005743333737829</v>
      </c>
      <c r="AJ288" s="100">
        <f t="shared" si="156"/>
        <v>47.654750149300618</v>
      </c>
    </row>
    <row r="289" spans="1:36" x14ac:dyDescent="0.2">
      <c r="A289" s="8">
        <v>31.832999999999998</v>
      </c>
      <c r="B289" s="100">
        <v>29.005747131</v>
      </c>
      <c r="C289" s="100">
        <v>47.654734322000003</v>
      </c>
      <c r="D289" s="101">
        <v>31833.324478609484</v>
      </c>
      <c r="E289" s="42" t="str">
        <f t="shared" si="128"/>
        <v/>
      </c>
      <c r="F289" s="7" t="str">
        <f t="shared" si="129"/>
        <v/>
      </c>
      <c r="G289" s="100" t="str">
        <f t="shared" si="130"/>
        <v/>
      </c>
      <c r="H289" s="100" t="str">
        <f t="shared" si="131"/>
        <v/>
      </c>
      <c r="I289" s="100" t="str">
        <f t="shared" si="132"/>
        <v/>
      </c>
      <c r="J289" s="100" t="str">
        <f t="shared" si="133"/>
        <v/>
      </c>
      <c r="K289" s="102" t="str">
        <f t="shared" si="134"/>
        <v/>
      </c>
      <c r="L289" s="103" t="str">
        <f t="shared" si="135"/>
        <v/>
      </c>
      <c r="M289" s="103" t="str">
        <f t="shared" si="136"/>
        <v/>
      </c>
      <c r="N289" s="103" t="str">
        <f t="shared" si="137"/>
        <v/>
      </c>
      <c r="O289" s="103" t="str">
        <f t="shared" si="138"/>
        <v/>
      </c>
      <c r="P289" s="105" t="str">
        <f t="shared" si="139"/>
        <v/>
      </c>
      <c r="Q289" s="105" t="str">
        <f t="shared" si="140"/>
        <v/>
      </c>
      <c r="R289" s="104" t="str">
        <f t="shared" si="141"/>
        <v/>
      </c>
      <c r="S289" s="104" t="str">
        <f t="shared" si="142"/>
        <v/>
      </c>
      <c r="T289" s="105" t="str">
        <f t="shared" si="143"/>
        <v/>
      </c>
      <c r="U289" s="14" t="str">
        <f t="shared" si="144"/>
        <v/>
      </c>
      <c r="V289" s="14" t="str">
        <f t="shared" si="145"/>
        <v/>
      </c>
      <c r="W289" s="103" t="str">
        <f t="shared" si="146"/>
        <v/>
      </c>
      <c r="X289" s="103" t="str">
        <f t="shared" si="147"/>
        <v/>
      </c>
      <c r="Y289" s="100" t="str">
        <f t="shared" si="148"/>
        <v/>
      </c>
      <c r="Z289" s="100" t="str">
        <f t="shared" si="149"/>
        <v/>
      </c>
      <c r="AA289" s="100" t="e">
        <f t="shared" si="150"/>
        <v>#VALUE!</v>
      </c>
      <c r="AB289" s="100" t="e">
        <f t="shared" si="151"/>
        <v>#VALUE!</v>
      </c>
      <c r="AC289" s="100" t="e">
        <f t="shared" si="152"/>
        <v>#VALUE!</v>
      </c>
      <c r="AD289" s="100" t="e">
        <f t="shared" si="153"/>
        <v>#VALUE!</v>
      </c>
      <c r="AE289" s="8" t="str">
        <f t="shared" si="126"/>
        <v/>
      </c>
      <c r="AF289" s="8" t="str">
        <f t="shared" si="127"/>
        <v/>
      </c>
      <c r="AG289" s="7" t="str">
        <f t="shared" si="154"/>
        <v>Good</v>
      </c>
      <c r="AI289" s="100">
        <f t="shared" si="155"/>
        <v>29.005747131</v>
      </c>
      <c r="AJ289" s="100">
        <f t="shared" si="156"/>
        <v>47.654734322000003</v>
      </c>
    </row>
    <row r="290" spans="1:36" x14ac:dyDescent="0.2">
      <c r="A290" s="8">
        <v>31.867999999999999</v>
      </c>
      <c r="B290" s="100">
        <v>29.005849232999999</v>
      </c>
      <c r="C290" s="100">
        <v>47.654401366999998</v>
      </c>
      <c r="D290" s="101">
        <v>31867.6132618421</v>
      </c>
      <c r="E290" s="42" t="str">
        <f t="shared" si="128"/>
        <v/>
      </c>
      <c r="F290" s="7" t="str">
        <f t="shared" si="129"/>
        <v/>
      </c>
      <c r="G290" s="100" t="str">
        <f t="shared" si="130"/>
        <v/>
      </c>
      <c r="H290" s="100" t="str">
        <f t="shared" si="131"/>
        <v/>
      </c>
      <c r="I290" s="100" t="str">
        <f t="shared" si="132"/>
        <v/>
      </c>
      <c r="J290" s="100" t="str">
        <f t="shared" si="133"/>
        <v/>
      </c>
      <c r="K290" s="102" t="str">
        <f t="shared" si="134"/>
        <v/>
      </c>
      <c r="L290" s="103" t="str">
        <f t="shared" si="135"/>
        <v/>
      </c>
      <c r="M290" s="103" t="str">
        <f t="shared" si="136"/>
        <v/>
      </c>
      <c r="N290" s="103" t="str">
        <f t="shared" si="137"/>
        <v/>
      </c>
      <c r="O290" s="103" t="str">
        <f t="shared" si="138"/>
        <v/>
      </c>
      <c r="P290" s="105" t="str">
        <f t="shared" si="139"/>
        <v/>
      </c>
      <c r="Q290" s="105" t="str">
        <f t="shared" si="140"/>
        <v/>
      </c>
      <c r="R290" s="104" t="str">
        <f t="shared" si="141"/>
        <v/>
      </c>
      <c r="S290" s="104" t="str">
        <f t="shared" si="142"/>
        <v/>
      </c>
      <c r="T290" s="105" t="str">
        <f t="shared" si="143"/>
        <v/>
      </c>
      <c r="U290" s="14" t="str">
        <f t="shared" si="144"/>
        <v/>
      </c>
      <c r="V290" s="14" t="str">
        <f t="shared" si="145"/>
        <v/>
      </c>
      <c r="W290" s="103" t="str">
        <f t="shared" si="146"/>
        <v/>
      </c>
      <c r="X290" s="103" t="str">
        <f t="shared" si="147"/>
        <v/>
      </c>
      <c r="Y290" s="100" t="str">
        <f t="shared" si="148"/>
        <v/>
      </c>
      <c r="Z290" s="100" t="str">
        <f t="shared" si="149"/>
        <v/>
      </c>
      <c r="AA290" s="100" t="e">
        <f t="shared" si="150"/>
        <v>#VALUE!</v>
      </c>
      <c r="AB290" s="100" t="e">
        <f t="shared" si="151"/>
        <v>#VALUE!</v>
      </c>
      <c r="AC290" s="100" t="e">
        <f t="shared" si="152"/>
        <v>#VALUE!</v>
      </c>
      <c r="AD290" s="100" t="e">
        <f t="shared" si="153"/>
        <v>#VALUE!</v>
      </c>
      <c r="AE290" s="8" t="str">
        <f t="shared" si="126"/>
        <v/>
      </c>
      <c r="AF290" s="8" t="str">
        <f t="shared" si="127"/>
        <v/>
      </c>
      <c r="AG290" s="7" t="str">
        <f t="shared" si="154"/>
        <v>Good</v>
      </c>
      <c r="AI290" s="100">
        <f t="shared" si="155"/>
        <v>29.005849232999999</v>
      </c>
      <c r="AJ290" s="100">
        <f t="shared" si="156"/>
        <v>47.654401366999998</v>
      </c>
    </row>
    <row r="291" spans="1:36" x14ac:dyDescent="0.2">
      <c r="A291" s="8">
        <v>32.027000000000001</v>
      </c>
      <c r="B291" s="100">
        <v>29.006247599999998</v>
      </c>
      <c r="C291" s="100">
        <v>47.652829199999999</v>
      </c>
      <c r="D291" s="101">
        <v>32026.682760999644</v>
      </c>
      <c r="E291" s="42" t="str">
        <f t="shared" si="128"/>
        <v/>
      </c>
      <c r="F291" s="7" t="str">
        <f t="shared" si="129"/>
        <v/>
      </c>
      <c r="G291" s="100" t="str">
        <f t="shared" si="130"/>
        <v/>
      </c>
      <c r="H291" s="100" t="str">
        <f t="shared" si="131"/>
        <v/>
      </c>
      <c r="I291" s="100" t="str">
        <f t="shared" si="132"/>
        <v/>
      </c>
      <c r="J291" s="100" t="str">
        <f t="shared" si="133"/>
        <v/>
      </c>
      <c r="K291" s="102" t="str">
        <f t="shared" si="134"/>
        <v/>
      </c>
      <c r="L291" s="103" t="str">
        <f t="shared" si="135"/>
        <v/>
      </c>
      <c r="M291" s="103" t="str">
        <f t="shared" si="136"/>
        <v/>
      </c>
      <c r="N291" s="103" t="str">
        <f t="shared" si="137"/>
        <v/>
      </c>
      <c r="O291" s="103" t="str">
        <f t="shared" si="138"/>
        <v/>
      </c>
      <c r="P291" s="105" t="str">
        <f t="shared" si="139"/>
        <v/>
      </c>
      <c r="Q291" s="105" t="str">
        <f t="shared" si="140"/>
        <v/>
      </c>
      <c r="R291" s="104" t="str">
        <f t="shared" si="141"/>
        <v/>
      </c>
      <c r="S291" s="104" t="str">
        <f t="shared" si="142"/>
        <v/>
      </c>
      <c r="T291" s="105" t="str">
        <f t="shared" si="143"/>
        <v/>
      </c>
      <c r="U291" s="14" t="str">
        <f t="shared" si="144"/>
        <v/>
      </c>
      <c r="V291" s="14" t="str">
        <f t="shared" si="145"/>
        <v/>
      </c>
      <c r="W291" s="103" t="str">
        <f t="shared" si="146"/>
        <v/>
      </c>
      <c r="X291" s="103" t="str">
        <f t="shared" si="147"/>
        <v/>
      </c>
      <c r="Y291" s="100" t="str">
        <f t="shared" si="148"/>
        <v/>
      </c>
      <c r="Z291" s="100" t="str">
        <f t="shared" si="149"/>
        <v/>
      </c>
      <c r="AA291" s="100" t="e">
        <f t="shared" si="150"/>
        <v>#VALUE!</v>
      </c>
      <c r="AB291" s="100" t="e">
        <f t="shared" si="151"/>
        <v>#VALUE!</v>
      </c>
      <c r="AC291" s="100" t="e">
        <f t="shared" si="152"/>
        <v>#VALUE!</v>
      </c>
      <c r="AD291" s="100" t="e">
        <f t="shared" si="153"/>
        <v>#VALUE!</v>
      </c>
      <c r="AE291" s="8" t="str">
        <f t="shared" si="126"/>
        <v/>
      </c>
      <c r="AF291" s="8" t="str">
        <f t="shared" si="127"/>
        <v/>
      </c>
      <c r="AG291" s="7" t="str">
        <f t="shared" si="154"/>
        <v>Good</v>
      </c>
      <c r="AI291" s="100">
        <f t="shared" si="155"/>
        <v>29.006247599999998</v>
      </c>
      <c r="AJ291" s="100">
        <f t="shared" si="156"/>
        <v>47.652829199999999</v>
      </c>
    </row>
    <row r="292" spans="1:36" x14ac:dyDescent="0.2">
      <c r="A292" s="8">
        <v>32.293999999999997</v>
      </c>
      <c r="B292" s="100">
        <v>29.006935084999999</v>
      </c>
      <c r="C292" s="100">
        <v>47.650193076000001</v>
      </c>
      <c r="D292" s="101">
        <v>32294.012383708327</v>
      </c>
      <c r="E292" s="42" t="str">
        <f t="shared" si="128"/>
        <v/>
      </c>
      <c r="F292" s="7" t="str">
        <f t="shared" si="129"/>
        <v/>
      </c>
      <c r="G292" s="100" t="str">
        <f t="shared" si="130"/>
        <v/>
      </c>
      <c r="H292" s="100" t="str">
        <f t="shared" si="131"/>
        <v/>
      </c>
      <c r="I292" s="100" t="str">
        <f t="shared" si="132"/>
        <v/>
      </c>
      <c r="J292" s="100" t="str">
        <f t="shared" si="133"/>
        <v/>
      </c>
      <c r="K292" s="102" t="str">
        <f t="shared" si="134"/>
        <v/>
      </c>
      <c r="L292" s="103" t="str">
        <f t="shared" si="135"/>
        <v/>
      </c>
      <c r="M292" s="103" t="str">
        <f t="shared" si="136"/>
        <v/>
      </c>
      <c r="N292" s="103" t="str">
        <f t="shared" si="137"/>
        <v/>
      </c>
      <c r="O292" s="103" t="str">
        <f t="shared" si="138"/>
        <v/>
      </c>
      <c r="P292" s="105" t="str">
        <f t="shared" si="139"/>
        <v/>
      </c>
      <c r="Q292" s="105" t="str">
        <f t="shared" si="140"/>
        <v/>
      </c>
      <c r="R292" s="104" t="str">
        <f t="shared" si="141"/>
        <v/>
      </c>
      <c r="S292" s="104" t="str">
        <f t="shared" si="142"/>
        <v/>
      </c>
      <c r="T292" s="105" t="str">
        <f t="shared" si="143"/>
        <v/>
      </c>
      <c r="U292" s="14" t="str">
        <f t="shared" si="144"/>
        <v/>
      </c>
      <c r="V292" s="14" t="str">
        <f t="shared" si="145"/>
        <v/>
      </c>
      <c r="W292" s="103" t="str">
        <f t="shared" si="146"/>
        <v/>
      </c>
      <c r="X292" s="103" t="str">
        <f t="shared" si="147"/>
        <v/>
      </c>
      <c r="Y292" s="100" t="str">
        <f t="shared" si="148"/>
        <v/>
      </c>
      <c r="Z292" s="100" t="str">
        <f t="shared" si="149"/>
        <v/>
      </c>
      <c r="AA292" s="100" t="e">
        <f t="shared" si="150"/>
        <v>#VALUE!</v>
      </c>
      <c r="AB292" s="100" t="e">
        <f t="shared" si="151"/>
        <v>#VALUE!</v>
      </c>
      <c r="AC292" s="100" t="e">
        <f t="shared" si="152"/>
        <v>#VALUE!</v>
      </c>
      <c r="AD292" s="100" t="e">
        <f t="shared" si="153"/>
        <v>#VALUE!</v>
      </c>
      <c r="AE292" s="8" t="str">
        <f t="shared" si="126"/>
        <v/>
      </c>
      <c r="AF292" s="8" t="str">
        <f t="shared" si="127"/>
        <v/>
      </c>
      <c r="AG292" s="7" t="str">
        <f t="shared" si="154"/>
        <v>Good</v>
      </c>
      <c r="AI292" s="100">
        <f t="shared" si="155"/>
        <v>29.006935084999999</v>
      </c>
      <c r="AJ292" s="100">
        <f t="shared" si="156"/>
        <v>47.650193076000001</v>
      </c>
    </row>
    <row r="293" spans="1:36" x14ac:dyDescent="0.2">
      <c r="A293" s="8">
        <v>32.338000000000001</v>
      </c>
      <c r="B293" s="100">
        <v>29.007035552000001</v>
      </c>
      <c r="C293" s="100">
        <v>47.649755079999998</v>
      </c>
      <c r="D293" s="101">
        <v>32338.016827511721</v>
      </c>
      <c r="E293" s="42" t="str">
        <f t="shared" si="128"/>
        <v/>
      </c>
      <c r="F293" s="7" t="str">
        <f t="shared" si="129"/>
        <v/>
      </c>
      <c r="G293" s="100" t="str">
        <f t="shared" si="130"/>
        <v/>
      </c>
      <c r="H293" s="100" t="str">
        <f t="shared" si="131"/>
        <v/>
      </c>
      <c r="I293" s="100" t="str">
        <f t="shared" si="132"/>
        <v/>
      </c>
      <c r="J293" s="100" t="str">
        <f t="shared" si="133"/>
        <v/>
      </c>
      <c r="K293" s="102" t="str">
        <f t="shared" si="134"/>
        <v/>
      </c>
      <c r="L293" s="103" t="str">
        <f t="shared" si="135"/>
        <v/>
      </c>
      <c r="M293" s="103" t="str">
        <f t="shared" si="136"/>
        <v/>
      </c>
      <c r="N293" s="103" t="str">
        <f t="shared" si="137"/>
        <v/>
      </c>
      <c r="O293" s="103" t="str">
        <f t="shared" si="138"/>
        <v/>
      </c>
      <c r="P293" s="105" t="str">
        <f t="shared" si="139"/>
        <v/>
      </c>
      <c r="Q293" s="105" t="str">
        <f t="shared" si="140"/>
        <v/>
      </c>
      <c r="R293" s="104" t="str">
        <f t="shared" si="141"/>
        <v/>
      </c>
      <c r="S293" s="104" t="str">
        <f t="shared" si="142"/>
        <v/>
      </c>
      <c r="T293" s="105" t="str">
        <f t="shared" si="143"/>
        <v/>
      </c>
      <c r="U293" s="14" t="str">
        <f t="shared" si="144"/>
        <v/>
      </c>
      <c r="V293" s="14" t="str">
        <f t="shared" si="145"/>
        <v/>
      </c>
      <c r="W293" s="103" t="str">
        <f t="shared" si="146"/>
        <v/>
      </c>
      <c r="X293" s="103" t="str">
        <f t="shared" si="147"/>
        <v/>
      </c>
      <c r="Y293" s="100" t="str">
        <f t="shared" si="148"/>
        <v/>
      </c>
      <c r="Z293" s="100" t="str">
        <f t="shared" si="149"/>
        <v/>
      </c>
      <c r="AA293" s="100" t="e">
        <f t="shared" si="150"/>
        <v>#VALUE!</v>
      </c>
      <c r="AB293" s="100" t="e">
        <f t="shared" si="151"/>
        <v>#VALUE!</v>
      </c>
      <c r="AC293" s="100" t="e">
        <f t="shared" si="152"/>
        <v>#VALUE!</v>
      </c>
      <c r="AD293" s="100" t="e">
        <f t="shared" si="153"/>
        <v>#VALUE!</v>
      </c>
      <c r="AE293" s="8" t="str">
        <f t="shared" si="126"/>
        <v/>
      </c>
      <c r="AF293" s="8" t="str">
        <f t="shared" si="127"/>
        <v/>
      </c>
      <c r="AG293" s="7" t="str">
        <f t="shared" si="154"/>
        <v>Good</v>
      </c>
      <c r="AI293" s="100">
        <f t="shared" si="155"/>
        <v>29.007035552000001</v>
      </c>
      <c r="AJ293" s="100">
        <f t="shared" si="156"/>
        <v>47.649755079999998</v>
      </c>
    </row>
    <row r="294" spans="1:36" x14ac:dyDescent="0.2">
      <c r="A294" s="8">
        <v>32.353000000000002</v>
      </c>
      <c r="B294" s="100">
        <v>29.007086335</v>
      </c>
      <c r="C294" s="100">
        <v>47.649607084000003</v>
      </c>
      <c r="D294" s="101">
        <v>32353.466550435125</v>
      </c>
      <c r="E294" s="42" t="str">
        <f t="shared" si="128"/>
        <v/>
      </c>
      <c r="F294" s="7" t="str">
        <f t="shared" si="129"/>
        <v/>
      </c>
      <c r="G294" s="100" t="str">
        <f t="shared" si="130"/>
        <v/>
      </c>
      <c r="H294" s="100" t="str">
        <f t="shared" si="131"/>
        <v/>
      </c>
      <c r="I294" s="100" t="str">
        <f t="shared" si="132"/>
        <v/>
      </c>
      <c r="J294" s="100" t="str">
        <f t="shared" si="133"/>
        <v/>
      </c>
      <c r="K294" s="102" t="str">
        <f t="shared" si="134"/>
        <v/>
      </c>
      <c r="L294" s="103" t="str">
        <f t="shared" si="135"/>
        <v/>
      </c>
      <c r="M294" s="103" t="str">
        <f t="shared" si="136"/>
        <v/>
      </c>
      <c r="N294" s="103" t="str">
        <f t="shared" si="137"/>
        <v/>
      </c>
      <c r="O294" s="103" t="str">
        <f t="shared" si="138"/>
        <v/>
      </c>
      <c r="P294" s="105" t="str">
        <f t="shared" si="139"/>
        <v/>
      </c>
      <c r="Q294" s="105" t="str">
        <f t="shared" si="140"/>
        <v/>
      </c>
      <c r="R294" s="104" t="str">
        <f t="shared" si="141"/>
        <v/>
      </c>
      <c r="S294" s="104" t="str">
        <f t="shared" si="142"/>
        <v/>
      </c>
      <c r="T294" s="105" t="str">
        <f t="shared" si="143"/>
        <v/>
      </c>
      <c r="U294" s="14" t="str">
        <f t="shared" si="144"/>
        <v/>
      </c>
      <c r="V294" s="14" t="str">
        <f t="shared" si="145"/>
        <v/>
      </c>
      <c r="W294" s="103" t="str">
        <f t="shared" si="146"/>
        <v/>
      </c>
      <c r="X294" s="103" t="str">
        <f t="shared" si="147"/>
        <v/>
      </c>
      <c r="Y294" s="100" t="str">
        <f t="shared" si="148"/>
        <v/>
      </c>
      <c r="Z294" s="100" t="str">
        <f t="shared" si="149"/>
        <v/>
      </c>
      <c r="AA294" s="100" t="e">
        <f t="shared" si="150"/>
        <v>#VALUE!</v>
      </c>
      <c r="AB294" s="100" t="e">
        <f t="shared" si="151"/>
        <v>#VALUE!</v>
      </c>
      <c r="AC294" s="100" t="e">
        <f t="shared" si="152"/>
        <v>#VALUE!</v>
      </c>
      <c r="AD294" s="100" t="e">
        <f t="shared" si="153"/>
        <v>#VALUE!</v>
      </c>
      <c r="AE294" s="8" t="str">
        <f t="shared" si="126"/>
        <v/>
      </c>
      <c r="AF294" s="8" t="str">
        <f t="shared" si="127"/>
        <v/>
      </c>
      <c r="AG294" s="7" t="str">
        <f t="shared" si="154"/>
        <v>Good</v>
      </c>
      <c r="AI294" s="100">
        <f t="shared" si="155"/>
        <v>29.007086335</v>
      </c>
      <c r="AJ294" s="100">
        <f t="shared" si="156"/>
        <v>47.649607084000003</v>
      </c>
    </row>
    <row r="295" spans="1:36" x14ac:dyDescent="0.2">
      <c r="A295" s="8">
        <v>32.371000000000002</v>
      </c>
      <c r="B295" s="100">
        <v>29.007127934</v>
      </c>
      <c r="C295" s="100">
        <v>47.649434608</v>
      </c>
      <c r="D295" s="101">
        <v>32370.853604619562</v>
      </c>
      <c r="E295" s="42" t="str">
        <f t="shared" si="128"/>
        <v/>
      </c>
      <c r="F295" s="7" t="str">
        <f t="shared" si="129"/>
        <v/>
      </c>
      <c r="G295" s="100" t="str">
        <f t="shared" si="130"/>
        <v/>
      </c>
      <c r="H295" s="100" t="str">
        <f t="shared" si="131"/>
        <v/>
      </c>
      <c r="I295" s="100" t="str">
        <f t="shared" si="132"/>
        <v/>
      </c>
      <c r="J295" s="100" t="str">
        <f t="shared" si="133"/>
        <v/>
      </c>
      <c r="K295" s="102" t="str">
        <f t="shared" si="134"/>
        <v/>
      </c>
      <c r="L295" s="103" t="str">
        <f t="shared" si="135"/>
        <v/>
      </c>
      <c r="M295" s="103" t="str">
        <f t="shared" si="136"/>
        <v/>
      </c>
      <c r="N295" s="103" t="str">
        <f t="shared" si="137"/>
        <v/>
      </c>
      <c r="O295" s="103" t="str">
        <f t="shared" si="138"/>
        <v/>
      </c>
      <c r="P295" s="105" t="str">
        <f t="shared" si="139"/>
        <v/>
      </c>
      <c r="Q295" s="105" t="str">
        <f t="shared" si="140"/>
        <v/>
      </c>
      <c r="R295" s="104" t="str">
        <f t="shared" si="141"/>
        <v/>
      </c>
      <c r="S295" s="104" t="str">
        <f t="shared" si="142"/>
        <v/>
      </c>
      <c r="T295" s="105" t="str">
        <f t="shared" si="143"/>
        <v/>
      </c>
      <c r="U295" s="14" t="str">
        <f t="shared" si="144"/>
        <v/>
      </c>
      <c r="V295" s="14" t="str">
        <f t="shared" si="145"/>
        <v/>
      </c>
      <c r="W295" s="103" t="str">
        <f t="shared" si="146"/>
        <v/>
      </c>
      <c r="X295" s="103" t="str">
        <f t="shared" si="147"/>
        <v/>
      </c>
      <c r="Y295" s="100" t="str">
        <f t="shared" si="148"/>
        <v/>
      </c>
      <c r="Z295" s="100" t="str">
        <f t="shared" si="149"/>
        <v/>
      </c>
      <c r="AA295" s="100" t="e">
        <f t="shared" si="150"/>
        <v>#VALUE!</v>
      </c>
      <c r="AB295" s="100" t="e">
        <f t="shared" si="151"/>
        <v>#VALUE!</v>
      </c>
      <c r="AC295" s="100" t="e">
        <f t="shared" si="152"/>
        <v>#VALUE!</v>
      </c>
      <c r="AD295" s="100" t="e">
        <f t="shared" si="153"/>
        <v>#VALUE!</v>
      </c>
      <c r="AE295" s="8" t="str">
        <f t="shared" si="126"/>
        <v/>
      </c>
      <c r="AF295" s="8" t="str">
        <f t="shared" si="127"/>
        <v/>
      </c>
      <c r="AG295" s="7" t="str">
        <f t="shared" si="154"/>
        <v>Good</v>
      </c>
      <c r="AI295" s="100">
        <f t="shared" si="155"/>
        <v>29.007127934</v>
      </c>
      <c r="AJ295" s="100">
        <f t="shared" si="156"/>
        <v>47.649434608</v>
      </c>
    </row>
    <row r="296" spans="1:36" x14ac:dyDescent="0.2">
      <c r="A296" s="8">
        <v>32.411999999999999</v>
      </c>
      <c r="B296" s="100">
        <v>29.007236840000001</v>
      </c>
      <c r="C296" s="100">
        <v>47.649027160999999</v>
      </c>
      <c r="D296" s="101">
        <v>32412.257639510888</v>
      </c>
      <c r="E296" s="42" t="str">
        <f t="shared" si="128"/>
        <v/>
      </c>
      <c r="F296" s="7" t="str">
        <f t="shared" si="129"/>
        <v/>
      </c>
      <c r="G296" s="100" t="str">
        <f t="shared" si="130"/>
        <v/>
      </c>
      <c r="H296" s="100" t="str">
        <f t="shared" si="131"/>
        <v/>
      </c>
      <c r="I296" s="100" t="str">
        <f t="shared" si="132"/>
        <v/>
      </c>
      <c r="J296" s="100" t="str">
        <f t="shared" si="133"/>
        <v/>
      </c>
      <c r="K296" s="102" t="str">
        <f t="shared" si="134"/>
        <v/>
      </c>
      <c r="L296" s="103" t="str">
        <f t="shared" si="135"/>
        <v/>
      </c>
      <c r="M296" s="103" t="str">
        <f t="shared" si="136"/>
        <v/>
      </c>
      <c r="N296" s="103" t="str">
        <f t="shared" si="137"/>
        <v/>
      </c>
      <c r="O296" s="103" t="str">
        <f t="shared" si="138"/>
        <v/>
      </c>
      <c r="P296" s="105" t="str">
        <f t="shared" si="139"/>
        <v/>
      </c>
      <c r="Q296" s="105" t="str">
        <f t="shared" si="140"/>
        <v/>
      </c>
      <c r="R296" s="104" t="str">
        <f t="shared" si="141"/>
        <v/>
      </c>
      <c r="S296" s="104" t="str">
        <f t="shared" si="142"/>
        <v/>
      </c>
      <c r="T296" s="105" t="str">
        <f t="shared" si="143"/>
        <v/>
      </c>
      <c r="U296" s="14" t="str">
        <f t="shared" si="144"/>
        <v/>
      </c>
      <c r="V296" s="14" t="str">
        <f t="shared" si="145"/>
        <v/>
      </c>
      <c r="W296" s="103" t="str">
        <f t="shared" si="146"/>
        <v/>
      </c>
      <c r="X296" s="103" t="str">
        <f t="shared" si="147"/>
        <v/>
      </c>
      <c r="Y296" s="100" t="str">
        <f t="shared" si="148"/>
        <v/>
      </c>
      <c r="Z296" s="100" t="str">
        <f t="shared" si="149"/>
        <v/>
      </c>
      <c r="AA296" s="100" t="e">
        <f t="shared" si="150"/>
        <v>#VALUE!</v>
      </c>
      <c r="AB296" s="100" t="e">
        <f t="shared" si="151"/>
        <v>#VALUE!</v>
      </c>
      <c r="AC296" s="100" t="e">
        <f t="shared" si="152"/>
        <v>#VALUE!</v>
      </c>
      <c r="AD296" s="100" t="e">
        <f t="shared" si="153"/>
        <v>#VALUE!</v>
      </c>
      <c r="AE296" s="8" t="str">
        <f t="shared" si="126"/>
        <v/>
      </c>
      <c r="AF296" s="8" t="str">
        <f t="shared" si="127"/>
        <v/>
      </c>
      <c r="AG296" s="7" t="str">
        <f t="shared" si="154"/>
        <v>Good</v>
      </c>
      <c r="AI296" s="100">
        <f t="shared" si="155"/>
        <v>29.007236840000001</v>
      </c>
      <c r="AJ296" s="100">
        <f t="shared" si="156"/>
        <v>47.649027160999999</v>
      </c>
    </row>
    <row r="297" spans="1:36" x14ac:dyDescent="0.2">
      <c r="A297" s="8">
        <v>32.484999999999999</v>
      </c>
      <c r="B297" s="100">
        <v>29.007420568000001</v>
      </c>
      <c r="C297" s="100">
        <v>47.648308309000001</v>
      </c>
      <c r="D297" s="101">
        <v>32485.038243496379</v>
      </c>
      <c r="E297" s="42" t="str">
        <f t="shared" si="128"/>
        <v/>
      </c>
      <c r="F297" s="7" t="str">
        <f t="shared" si="129"/>
        <v/>
      </c>
      <c r="G297" s="100" t="str">
        <f t="shared" si="130"/>
        <v/>
      </c>
      <c r="H297" s="100" t="str">
        <f t="shared" si="131"/>
        <v/>
      </c>
      <c r="I297" s="100" t="str">
        <f t="shared" si="132"/>
        <v/>
      </c>
      <c r="J297" s="100" t="str">
        <f t="shared" si="133"/>
        <v/>
      </c>
      <c r="K297" s="102" t="str">
        <f t="shared" si="134"/>
        <v/>
      </c>
      <c r="L297" s="103" t="str">
        <f t="shared" si="135"/>
        <v/>
      </c>
      <c r="M297" s="103" t="str">
        <f t="shared" si="136"/>
        <v/>
      </c>
      <c r="N297" s="103" t="str">
        <f t="shared" si="137"/>
        <v/>
      </c>
      <c r="O297" s="103" t="str">
        <f t="shared" si="138"/>
        <v/>
      </c>
      <c r="P297" s="105" t="str">
        <f t="shared" si="139"/>
        <v/>
      </c>
      <c r="Q297" s="105" t="str">
        <f t="shared" si="140"/>
        <v/>
      </c>
      <c r="R297" s="104" t="str">
        <f t="shared" si="141"/>
        <v/>
      </c>
      <c r="S297" s="104" t="str">
        <f t="shared" si="142"/>
        <v/>
      </c>
      <c r="T297" s="105" t="str">
        <f t="shared" si="143"/>
        <v/>
      </c>
      <c r="U297" s="14" t="str">
        <f t="shared" si="144"/>
        <v/>
      </c>
      <c r="V297" s="14" t="str">
        <f t="shared" si="145"/>
        <v/>
      </c>
      <c r="W297" s="103" t="str">
        <f t="shared" si="146"/>
        <v/>
      </c>
      <c r="X297" s="103" t="str">
        <f t="shared" si="147"/>
        <v/>
      </c>
      <c r="Y297" s="100" t="str">
        <f t="shared" si="148"/>
        <v/>
      </c>
      <c r="Z297" s="100" t="str">
        <f t="shared" si="149"/>
        <v/>
      </c>
      <c r="AA297" s="100" t="e">
        <f t="shared" si="150"/>
        <v>#VALUE!</v>
      </c>
      <c r="AB297" s="100" t="e">
        <f t="shared" si="151"/>
        <v>#VALUE!</v>
      </c>
      <c r="AC297" s="100" t="e">
        <f t="shared" si="152"/>
        <v>#VALUE!</v>
      </c>
      <c r="AD297" s="100" t="e">
        <f t="shared" si="153"/>
        <v>#VALUE!</v>
      </c>
      <c r="AE297" s="8" t="str">
        <f t="shared" si="126"/>
        <v/>
      </c>
      <c r="AF297" s="8" t="str">
        <f t="shared" si="127"/>
        <v/>
      </c>
      <c r="AG297" s="7" t="str">
        <f t="shared" si="154"/>
        <v>Good</v>
      </c>
      <c r="AI297" s="100">
        <f t="shared" si="155"/>
        <v>29.007420568000001</v>
      </c>
      <c r="AJ297" s="100">
        <f t="shared" si="156"/>
        <v>47.648308309000001</v>
      </c>
    </row>
    <row r="298" spans="1:36" x14ac:dyDescent="0.2">
      <c r="A298" s="8">
        <v>32.689</v>
      </c>
      <c r="B298" s="100">
        <v>29.007943013999999</v>
      </c>
      <c r="C298" s="100">
        <v>47.646294634</v>
      </c>
      <c r="D298" s="101">
        <v>32689.157465983681</v>
      </c>
      <c r="E298" s="42" t="str">
        <f t="shared" si="128"/>
        <v/>
      </c>
      <c r="F298" s="7" t="str">
        <f t="shared" si="129"/>
        <v/>
      </c>
      <c r="G298" s="100" t="str">
        <f t="shared" si="130"/>
        <v/>
      </c>
      <c r="H298" s="100" t="str">
        <f t="shared" si="131"/>
        <v/>
      </c>
      <c r="I298" s="100" t="str">
        <f t="shared" si="132"/>
        <v/>
      </c>
      <c r="J298" s="100" t="str">
        <f t="shared" si="133"/>
        <v/>
      </c>
      <c r="K298" s="102" t="str">
        <f t="shared" si="134"/>
        <v/>
      </c>
      <c r="L298" s="103" t="str">
        <f t="shared" si="135"/>
        <v/>
      </c>
      <c r="M298" s="103" t="str">
        <f t="shared" si="136"/>
        <v/>
      </c>
      <c r="N298" s="103" t="str">
        <f t="shared" si="137"/>
        <v/>
      </c>
      <c r="O298" s="103" t="str">
        <f t="shared" si="138"/>
        <v/>
      </c>
      <c r="P298" s="105" t="str">
        <f t="shared" si="139"/>
        <v/>
      </c>
      <c r="Q298" s="105" t="str">
        <f t="shared" si="140"/>
        <v/>
      </c>
      <c r="R298" s="104" t="str">
        <f t="shared" si="141"/>
        <v/>
      </c>
      <c r="S298" s="104" t="str">
        <f t="shared" si="142"/>
        <v/>
      </c>
      <c r="T298" s="105" t="str">
        <f t="shared" si="143"/>
        <v/>
      </c>
      <c r="U298" s="14" t="str">
        <f t="shared" si="144"/>
        <v/>
      </c>
      <c r="V298" s="14" t="str">
        <f t="shared" si="145"/>
        <v/>
      </c>
      <c r="W298" s="103" t="str">
        <f t="shared" si="146"/>
        <v/>
      </c>
      <c r="X298" s="103" t="str">
        <f t="shared" si="147"/>
        <v/>
      </c>
      <c r="Y298" s="100" t="str">
        <f t="shared" si="148"/>
        <v/>
      </c>
      <c r="Z298" s="100" t="str">
        <f t="shared" si="149"/>
        <v/>
      </c>
      <c r="AA298" s="100" t="e">
        <f t="shared" si="150"/>
        <v>#VALUE!</v>
      </c>
      <c r="AB298" s="100" t="e">
        <f t="shared" si="151"/>
        <v>#VALUE!</v>
      </c>
      <c r="AC298" s="100" t="e">
        <f t="shared" si="152"/>
        <v>#VALUE!</v>
      </c>
      <c r="AD298" s="100" t="e">
        <f t="shared" si="153"/>
        <v>#VALUE!</v>
      </c>
      <c r="AE298" s="8" t="str">
        <f t="shared" si="126"/>
        <v/>
      </c>
      <c r="AF298" s="8" t="str">
        <f t="shared" si="127"/>
        <v/>
      </c>
      <c r="AG298" s="7" t="str">
        <f t="shared" si="154"/>
        <v>Good</v>
      </c>
      <c r="AI298" s="100">
        <f t="shared" si="155"/>
        <v>29.007943013999999</v>
      </c>
      <c r="AJ298" s="100">
        <f t="shared" si="156"/>
        <v>47.646294634</v>
      </c>
    </row>
    <row r="299" spans="1:36" x14ac:dyDescent="0.2">
      <c r="A299" s="8">
        <v>32.869</v>
      </c>
      <c r="D299" s="101">
        <v>32869</v>
      </c>
      <c r="E299" s="42">
        <f t="shared" si="128"/>
        <v>179.84253401631941</v>
      </c>
      <c r="F299" s="7">
        <f t="shared" si="129"/>
        <v>1</v>
      </c>
      <c r="G299" s="100">
        <f t="shared" si="130"/>
        <v>29.007943013999999</v>
      </c>
      <c r="H299" s="100">
        <f t="shared" si="131"/>
        <v>47.646294634</v>
      </c>
      <c r="I299" s="100">
        <f t="shared" si="132"/>
        <v>29.008393852000001</v>
      </c>
      <c r="J299" s="100">
        <f t="shared" si="133"/>
        <v>47.644510484000001</v>
      </c>
      <c r="K299" s="102">
        <f t="shared" si="134"/>
        <v>38</v>
      </c>
      <c r="L299" s="103">
        <f t="shared" si="135"/>
        <v>3211753.7133018575</v>
      </c>
      <c r="M299" s="103">
        <f t="shared" si="136"/>
        <v>757778.10581017763</v>
      </c>
      <c r="N299" s="103">
        <f t="shared" si="137"/>
        <v>3211799.7952172351</v>
      </c>
      <c r="O299" s="103">
        <f t="shared" si="138"/>
        <v>757603.12476639182</v>
      </c>
      <c r="P299" s="105">
        <f t="shared" si="139"/>
        <v>46.081915377639234</v>
      </c>
      <c r="Q299" s="105">
        <f t="shared" si="140"/>
        <v>-174.98104378581047</v>
      </c>
      <c r="R299" s="104">
        <f t="shared" si="141"/>
        <v>180.94725366593335</v>
      </c>
      <c r="S299" s="104" t="str">
        <f t="shared" si="142"/>
        <v>NW</v>
      </c>
      <c r="T299" s="105">
        <f t="shared" si="143"/>
        <v>0.25750688351923745</v>
      </c>
      <c r="U299" s="14">
        <f t="shared" si="144"/>
        <v>-173.91274905646895</v>
      </c>
      <c r="V299" s="14">
        <f t="shared" si="145"/>
        <v>45.800575946516886</v>
      </c>
      <c r="W299" s="103">
        <f t="shared" si="146"/>
        <v>3211799.5138778039</v>
      </c>
      <c r="X299" s="103">
        <f t="shared" si="147"/>
        <v>757604.19306112116</v>
      </c>
      <c r="Y299" s="100">
        <f t="shared" si="148"/>
        <v>29.008391071818998</v>
      </c>
      <c r="Z299" s="100">
        <f t="shared" si="149"/>
        <v>47.644521377056691</v>
      </c>
      <c r="AA299" s="100">
        <f t="shared" si="150"/>
        <v>-4.4805781899981412E-4</v>
      </c>
      <c r="AB299" s="100">
        <f t="shared" si="151"/>
        <v>-2.7801810027483498E-6</v>
      </c>
      <c r="AC299" s="100">
        <f t="shared" si="152"/>
        <v>1.7732569433093204E-3</v>
      </c>
      <c r="AD299" s="100">
        <f t="shared" si="153"/>
        <v>1.0893056689553759E-5</v>
      </c>
      <c r="AE299" s="8" t="str">
        <f t="shared" si="126"/>
        <v>Good</v>
      </c>
      <c r="AF299" s="8" t="str">
        <f t="shared" si="127"/>
        <v>Good</v>
      </c>
      <c r="AG299" s="7" t="str">
        <f t="shared" si="154"/>
        <v>Good</v>
      </c>
      <c r="AI299" s="100">
        <f t="shared" si="155"/>
        <v>29.008391071818998</v>
      </c>
      <c r="AJ299" s="100">
        <f t="shared" si="156"/>
        <v>47.644521377056691</v>
      </c>
    </row>
    <row r="300" spans="1:36" x14ac:dyDescent="0.2">
      <c r="A300" s="8">
        <v>32.869999999999997</v>
      </c>
      <c r="B300" s="100">
        <v>29.008393852000001</v>
      </c>
      <c r="C300" s="100">
        <v>47.644510484000001</v>
      </c>
      <c r="D300" s="101">
        <v>32869.633245515026</v>
      </c>
      <c r="E300" s="42" t="str">
        <f t="shared" si="128"/>
        <v/>
      </c>
      <c r="F300" s="7" t="str">
        <f t="shared" si="129"/>
        <v/>
      </c>
      <c r="G300" s="100" t="str">
        <f t="shared" si="130"/>
        <v/>
      </c>
      <c r="H300" s="100" t="str">
        <f t="shared" si="131"/>
        <v/>
      </c>
      <c r="I300" s="100" t="str">
        <f t="shared" si="132"/>
        <v/>
      </c>
      <c r="J300" s="100" t="str">
        <f t="shared" si="133"/>
        <v/>
      </c>
      <c r="K300" s="102" t="str">
        <f t="shared" si="134"/>
        <v/>
      </c>
      <c r="L300" s="103" t="str">
        <f t="shared" si="135"/>
        <v/>
      </c>
      <c r="M300" s="103" t="str">
        <f t="shared" si="136"/>
        <v/>
      </c>
      <c r="N300" s="103" t="str">
        <f t="shared" si="137"/>
        <v/>
      </c>
      <c r="O300" s="103" t="str">
        <f t="shared" si="138"/>
        <v/>
      </c>
      <c r="P300" s="105" t="str">
        <f t="shared" si="139"/>
        <v/>
      </c>
      <c r="Q300" s="105" t="str">
        <f t="shared" si="140"/>
        <v/>
      </c>
      <c r="R300" s="104" t="str">
        <f t="shared" si="141"/>
        <v/>
      </c>
      <c r="S300" s="104" t="str">
        <f t="shared" si="142"/>
        <v/>
      </c>
      <c r="T300" s="105" t="str">
        <f t="shared" si="143"/>
        <v/>
      </c>
      <c r="U300" s="14" t="str">
        <f t="shared" si="144"/>
        <v/>
      </c>
      <c r="V300" s="14" t="str">
        <f t="shared" si="145"/>
        <v/>
      </c>
      <c r="W300" s="103" t="str">
        <f t="shared" si="146"/>
        <v/>
      </c>
      <c r="X300" s="103" t="str">
        <f t="shared" si="147"/>
        <v/>
      </c>
      <c r="Y300" s="100" t="str">
        <f t="shared" si="148"/>
        <v/>
      </c>
      <c r="Z300" s="100" t="str">
        <f t="shared" si="149"/>
        <v/>
      </c>
      <c r="AA300" s="100" t="e">
        <f t="shared" si="150"/>
        <v>#VALUE!</v>
      </c>
      <c r="AB300" s="100" t="e">
        <f t="shared" si="151"/>
        <v>#VALUE!</v>
      </c>
      <c r="AC300" s="100" t="e">
        <f t="shared" si="152"/>
        <v>#VALUE!</v>
      </c>
      <c r="AD300" s="100" t="e">
        <f t="shared" si="153"/>
        <v>#VALUE!</v>
      </c>
      <c r="AE300" s="8" t="str">
        <f t="shared" si="126"/>
        <v/>
      </c>
      <c r="AF300" s="8" t="str">
        <f t="shared" si="127"/>
        <v/>
      </c>
      <c r="AG300" s="7" t="str">
        <f t="shared" si="154"/>
        <v>Good</v>
      </c>
      <c r="AI300" s="100">
        <f t="shared" si="155"/>
        <v>29.008393852000001</v>
      </c>
      <c r="AJ300" s="100">
        <f t="shared" si="156"/>
        <v>47.644510484000001</v>
      </c>
    </row>
    <row r="301" spans="1:36" x14ac:dyDescent="0.2">
      <c r="A301" s="8">
        <v>32.970999999999997</v>
      </c>
      <c r="B301" s="100">
        <v>29.008654565000001</v>
      </c>
      <c r="C301" s="100">
        <v>47.643507804000002</v>
      </c>
      <c r="D301" s="101">
        <v>32971.288591844743</v>
      </c>
      <c r="E301" s="42" t="str">
        <f t="shared" si="128"/>
        <v/>
      </c>
      <c r="F301" s="7" t="str">
        <f t="shared" si="129"/>
        <v/>
      </c>
      <c r="G301" s="100" t="str">
        <f t="shared" si="130"/>
        <v/>
      </c>
      <c r="H301" s="100" t="str">
        <f t="shared" si="131"/>
        <v/>
      </c>
      <c r="I301" s="100" t="str">
        <f t="shared" si="132"/>
        <v/>
      </c>
      <c r="J301" s="100" t="str">
        <f t="shared" si="133"/>
        <v/>
      </c>
      <c r="K301" s="102" t="str">
        <f t="shared" si="134"/>
        <v/>
      </c>
      <c r="L301" s="103" t="str">
        <f t="shared" si="135"/>
        <v/>
      </c>
      <c r="M301" s="103" t="str">
        <f t="shared" si="136"/>
        <v/>
      </c>
      <c r="N301" s="103" t="str">
        <f t="shared" si="137"/>
        <v/>
      </c>
      <c r="O301" s="103" t="str">
        <f t="shared" si="138"/>
        <v/>
      </c>
      <c r="P301" s="105" t="str">
        <f t="shared" si="139"/>
        <v/>
      </c>
      <c r="Q301" s="105" t="str">
        <f t="shared" si="140"/>
        <v/>
      </c>
      <c r="R301" s="104" t="str">
        <f t="shared" si="141"/>
        <v/>
      </c>
      <c r="S301" s="104" t="str">
        <f t="shared" si="142"/>
        <v/>
      </c>
      <c r="T301" s="105" t="str">
        <f t="shared" si="143"/>
        <v/>
      </c>
      <c r="U301" s="14" t="str">
        <f t="shared" si="144"/>
        <v/>
      </c>
      <c r="V301" s="14" t="str">
        <f t="shared" si="145"/>
        <v/>
      </c>
      <c r="W301" s="103" t="str">
        <f t="shared" si="146"/>
        <v/>
      </c>
      <c r="X301" s="103" t="str">
        <f t="shared" si="147"/>
        <v/>
      </c>
      <c r="Y301" s="100" t="str">
        <f t="shared" si="148"/>
        <v/>
      </c>
      <c r="Z301" s="100" t="str">
        <f t="shared" si="149"/>
        <v/>
      </c>
      <c r="AA301" s="100" t="e">
        <f t="shared" si="150"/>
        <v>#VALUE!</v>
      </c>
      <c r="AB301" s="100" t="e">
        <f t="shared" si="151"/>
        <v>#VALUE!</v>
      </c>
      <c r="AC301" s="100" t="e">
        <f t="shared" si="152"/>
        <v>#VALUE!</v>
      </c>
      <c r="AD301" s="100" t="e">
        <f t="shared" si="153"/>
        <v>#VALUE!</v>
      </c>
      <c r="AE301" s="8" t="str">
        <f t="shared" si="126"/>
        <v/>
      </c>
      <c r="AF301" s="8" t="str">
        <f t="shared" si="127"/>
        <v/>
      </c>
      <c r="AG301" s="7" t="str">
        <f t="shared" si="154"/>
        <v>Good</v>
      </c>
      <c r="AI301" s="100">
        <f t="shared" si="155"/>
        <v>29.008654565000001</v>
      </c>
      <c r="AJ301" s="100">
        <f t="shared" si="156"/>
        <v>47.643507804000002</v>
      </c>
    </row>
    <row r="302" spans="1:36" x14ac:dyDescent="0.2">
      <c r="A302" s="8">
        <v>33.085000000000001</v>
      </c>
      <c r="B302" s="100">
        <v>29.008948223000001</v>
      </c>
      <c r="C302" s="100">
        <v>47.642382118999997</v>
      </c>
      <c r="D302" s="101">
        <v>33085.444901250965</v>
      </c>
      <c r="E302" s="42" t="str">
        <f t="shared" si="128"/>
        <v/>
      </c>
      <c r="F302" s="7" t="str">
        <f t="shared" si="129"/>
        <v/>
      </c>
      <c r="G302" s="100" t="str">
        <f t="shared" si="130"/>
        <v/>
      </c>
      <c r="H302" s="100" t="str">
        <f t="shared" si="131"/>
        <v/>
      </c>
      <c r="I302" s="100" t="str">
        <f t="shared" si="132"/>
        <v/>
      </c>
      <c r="J302" s="100" t="str">
        <f t="shared" si="133"/>
        <v/>
      </c>
      <c r="K302" s="102" t="str">
        <f t="shared" si="134"/>
        <v/>
      </c>
      <c r="L302" s="103" t="str">
        <f t="shared" si="135"/>
        <v/>
      </c>
      <c r="M302" s="103" t="str">
        <f t="shared" si="136"/>
        <v/>
      </c>
      <c r="N302" s="103" t="str">
        <f t="shared" si="137"/>
        <v/>
      </c>
      <c r="O302" s="103" t="str">
        <f t="shared" si="138"/>
        <v/>
      </c>
      <c r="P302" s="105" t="str">
        <f t="shared" si="139"/>
        <v/>
      </c>
      <c r="Q302" s="105" t="str">
        <f t="shared" si="140"/>
        <v/>
      </c>
      <c r="R302" s="104" t="str">
        <f t="shared" si="141"/>
        <v/>
      </c>
      <c r="S302" s="104" t="str">
        <f t="shared" si="142"/>
        <v/>
      </c>
      <c r="T302" s="105" t="str">
        <f t="shared" si="143"/>
        <v/>
      </c>
      <c r="U302" s="14" t="str">
        <f t="shared" si="144"/>
        <v/>
      </c>
      <c r="V302" s="14" t="str">
        <f t="shared" si="145"/>
        <v/>
      </c>
      <c r="W302" s="103" t="str">
        <f t="shared" si="146"/>
        <v/>
      </c>
      <c r="X302" s="103" t="str">
        <f t="shared" si="147"/>
        <v/>
      </c>
      <c r="Y302" s="100" t="str">
        <f t="shared" si="148"/>
        <v/>
      </c>
      <c r="Z302" s="100" t="str">
        <f t="shared" si="149"/>
        <v/>
      </c>
      <c r="AA302" s="100" t="e">
        <f t="shared" si="150"/>
        <v>#VALUE!</v>
      </c>
      <c r="AB302" s="100" t="e">
        <f t="shared" si="151"/>
        <v>#VALUE!</v>
      </c>
      <c r="AC302" s="100" t="e">
        <f t="shared" si="152"/>
        <v>#VALUE!</v>
      </c>
      <c r="AD302" s="100" t="e">
        <f t="shared" si="153"/>
        <v>#VALUE!</v>
      </c>
      <c r="AE302" s="8" t="str">
        <f t="shared" si="126"/>
        <v/>
      </c>
      <c r="AF302" s="8" t="str">
        <f t="shared" si="127"/>
        <v/>
      </c>
      <c r="AG302" s="7" t="str">
        <f t="shared" si="154"/>
        <v>Good</v>
      </c>
      <c r="AI302" s="100">
        <f t="shared" si="155"/>
        <v>29.008948223000001</v>
      </c>
      <c r="AJ302" s="100">
        <f t="shared" si="156"/>
        <v>47.642382118999997</v>
      </c>
    </row>
    <row r="303" spans="1:36" x14ac:dyDescent="0.2">
      <c r="A303" s="8">
        <v>33.104999999999997</v>
      </c>
      <c r="B303" s="100">
        <v>29.008996689</v>
      </c>
      <c r="C303" s="100">
        <v>47.642186275999997</v>
      </c>
      <c r="D303" s="101">
        <v>33105.224103582346</v>
      </c>
      <c r="E303" s="42" t="str">
        <f t="shared" si="128"/>
        <v/>
      </c>
      <c r="F303" s="7" t="str">
        <f t="shared" si="129"/>
        <v/>
      </c>
      <c r="G303" s="100" t="str">
        <f t="shared" si="130"/>
        <v/>
      </c>
      <c r="H303" s="100" t="str">
        <f t="shared" si="131"/>
        <v/>
      </c>
      <c r="I303" s="100" t="str">
        <f t="shared" si="132"/>
        <v/>
      </c>
      <c r="J303" s="100" t="str">
        <f t="shared" si="133"/>
        <v/>
      </c>
      <c r="K303" s="102" t="str">
        <f t="shared" si="134"/>
        <v/>
      </c>
      <c r="L303" s="103" t="str">
        <f t="shared" si="135"/>
        <v/>
      </c>
      <c r="M303" s="103" t="str">
        <f t="shared" si="136"/>
        <v/>
      </c>
      <c r="N303" s="103" t="str">
        <f t="shared" si="137"/>
        <v/>
      </c>
      <c r="O303" s="103" t="str">
        <f t="shared" si="138"/>
        <v/>
      </c>
      <c r="P303" s="105" t="str">
        <f t="shared" si="139"/>
        <v/>
      </c>
      <c r="Q303" s="105" t="str">
        <f t="shared" si="140"/>
        <v/>
      </c>
      <c r="R303" s="104" t="str">
        <f t="shared" si="141"/>
        <v/>
      </c>
      <c r="S303" s="104" t="str">
        <f t="shared" si="142"/>
        <v/>
      </c>
      <c r="T303" s="105" t="str">
        <f t="shared" si="143"/>
        <v/>
      </c>
      <c r="U303" s="14" t="str">
        <f t="shared" si="144"/>
        <v/>
      </c>
      <c r="V303" s="14" t="str">
        <f t="shared" si="145"/>
        <v/>
      </c>
      <c r="W303" s="103" t="str">
        <f t="shared" si="146"/>
        <v/>
      </c>
      <c r="X303" s="103" t="str">
        <f t="shared" si="147"/>
        <v/>
      </c>
      <c r="Y303" s="100" t="str">
        <f t="shared" si="148"/>
        <v/>
      </c>
      <c r="Z303" s="100" t="str">
        <f t="shared" si="149"/>
        <v/>
      </c>
      <c r="AA303" s="100" t="e">
        <f t="shared" si="150"/>
        <v>#VALUE!</v>
      </c>
      <c r="AB303" s="100" t="e">
        <f t="shared" si="151"/>
        <v>#VALUE!</v>
      </c>
      <c r="AC303" s="100" t="e">
        <f t="shared" si="152"/>
        <v>#VALUE!</v>
      </c>
      <c r="AD303" s="100" t="e">
        <f t="shared" si="153"/>
        <v>#VALUE!</v>
      </c>
      <c r="AE303" s="8" t="str">
        <f t="shared" si="126"/>
        <v/>
      </c>
      <c r="AF303" s="8" t="str">
        <f t="shared" si="127"/>
        <v/>
      </c>
      <c r="AG303" s="7" t="str">
        <f t="shared" si="154"/>
        <v>Good</v>
      </c>
      <c r="AI303" s="100">
        <f t="shared" si="155"/>
        <v>29.008996689</v>
      </c>
      <c r="AJ303" s="100">
        <f t="shared" si="156"/>
        <v>47.642186275999997</v>
      </c>
    </row>
    <row r="304" spans="1:36" x14ac:dyDescent="0.2">
      <c r="A304" s="8">
        <v>33.231000000000002</v>
      </c>
      <c r="B304" s="100">
        <v>29.009319604000002</v>
      </c>
      <c r="C304" s="100">
        <v>47.640942746</v>
      </c>
      <c r="D304" s="101">
        <v>33231.283700393185</v>
      </c>
      <c r="E304" s="42" t="str">
        <f t="shared" si="128"/>
        <v/>
      </c>
      <c r="F304" s="7" t="str">
        <f t="shared" si="129"/>
        <v/>
      </c>
      <c r="G304" s="100" t="str">
        <f t="shared" si="130"/>
        <v/>
      </c>
      <c r="H304" s="100" t="str">
        <f t="shared" si="131"/>
        <v/>
      </c>
      <c r="I304" s="100" t="str">
        <f t="shared" si="132"/>
        <v/>
      </c>
      <c r="J304" s="100" t="str">
        <f t="shared" si="133"/>
        <v/>
      </c>
      <c r="K304" s="102" t="str">
        <f t="shared" si="134"/>
        <v/>
      </c>
      <c r="L304" s="103" t="str">
        <f t="shared" si="135"/>
        <v/>
      </c>
      <c r="M304" s="103" t="str">
        <f t="shared" si="136"/>
        <v/>
      </c>
      <c r="N304" s="103" t="str">
        <f t="shared" si="137"/>
        <v/>
      </c>
      <c r="O304" s="103" t="str">
        <f t="shared" si="138"/>
        <v/>
      </c>
      <c r="P304" s="105" t="str">
        <f t="shared" si="139"/>
        <v/>
      </c>
      <c r="Q304" s="105" t="str">
        <f t="shared" si="140"/>
        <v/>
      </c>
      <c r="R304" s="104" t="str">
        <f t="shared" si="141"/>
        <v/>
      </c>
      <c r="S304" s="104" t="str">
        <f t="shared" si="142"/>
        <v/>
      </c>
      <c r="T304" s="105" t="str">
        <f t="shared" si="143"/>
        <v/>
      </c>
      <c r="U304" s="14" t="str">
        <f t="shared" si="144"/>
        <v/>
      </c>
      <c r="V304" s="14" t="str">
        <f t="shared" si="145"/>
        <v/>
      </c>
      <c r="W304" s="103" t="str">
        <f t="shared" si="146"/>
        <v/>
      </c>
      <c r="X304" s="103" t="str">
        <f t="shared" si="147"/>
        <v/>
      </c>
      <c r="Y304" s="100" t="str">
        <f t="shared" si="148"/>
        <v/>
      </c>
      <c r="Z304" s="100" t="str">
        <f t="shared" si="149"/>
        <v/>
      </c>
      <c r="AA304" s="100" t="e">
        <f t="shared" si="150"/>
        <v>#VALUE!</v>
      </c>
      <c r="AB304" s="100" t="e">
        <f t="shared" si="151"/>
        <v>#VALUE!</v>
      </c>
      <c r="AC304" s="100" t="e">
        <f t="shared" si="152"/>
        <v>#VALUE!</v>
      </c>
      <c r="AD304" s="100" t="e">
        <f t="shared" si="153"/>
        <v>#VALUE!</v>
      </c>
      <c r="AE304" s="8" t="str">
        <f t="shared" si="126"/>
        <v/>
      </c>
      <c r="AF304" s="8" t="str">
        <f t="shared" si="127"/>
        <v/>
      </c>
      <c r="AG304" s="7" t="str">
        <f t="shared" si="154"/>
        <v>Good</v>
      </c>
      <c r="AI304" s="100">
        <f t="shared" si="155"/>
        <v>29.009319604000002</v>
      </c>
      <c r="AJ304" s="100">
        <f t="shared" si="156"/>
        <v>47.640942746</v>
      </c>
    </row>
    <row r="305" spans="1:36" x14ac:dyDescent="0.2">
      <c r="A305" s="8">
        <v>33.564999999999998</v>
      </c>
      <c r="B305" s="100">
        <v>29.010170710000001</v>
      </c>
      <c r="C305" s="100">
        <v>47.637647078999997</v>
      </c>
      <c r="D305" s="101">
        <v>33565.223233720848</v>
      </c>
      <c r="E305" s="42" t="str">
        <f t="shared" si="128"/>
        <v/>
      </c>
      <c r="F305" s="7" t="str">
        <f t="shared" si="129"/>
        <v/>
      </c>
      <c r="G305" s="100" t="str">
        <f t="shared" si="130"/>
        <v/>
      </c>
      <c r="H305" s="100" t="str">
        <f t="shared" si="131"/>
        <v/>
      </c>
      <c r="I305" s="100" t="str">
        <f t="shared" si="132"/>
        <v/>
      </c>
      <c r="J305" s="100" t="str">
        <f t="shared" si="133"/>
        <v/>
      </c>
      <c r="K305" s="102" t="str">
        <f t="shared" si="134"/>
        <v/>
      </c>
      <c r="L305" s="103" t="str">
        <f t="shared" si="135"/>
        <v/>
      </c>
      <c r="M305" s="103" t="str">
        <f t="shared" si="136"/>
        <v/>
      </c>
      <c r="N305" s="103" t="str">
        <f t="shared" si="137"/>
        <v/>
      </c>
      <c r="O305" s="103" t="str">
        <f t="shared" si="138"/>
        <v/>
      </c>
      <c r="P305" s="105" t="str">
        <f t="shared" si="139"/>
        <v/>
      </c>
      <c r="Q305" s="105" t="str">
        <f t="shared" si="140"/>
        <v/>
      </c>
      <c r="R305" s="104" t="str">
        <f t="shared" si="141"/>
        <v/>
      </c>
      <c r="S305" s="104" t="str">
        <f t="shared" si="142"/>
        <v/>
      </c>
      <c r="T305" s="105" t="str">
        <f t="shared" si="143"/>
        <v/>
      </c>
      <c r="U305" s="14" t="str">
        <f t="shared" si="144"/>
        <v/>
      </c>
      <c r="V305" s="14" t="str">
        <f t="shared" si="145"/>
        <v/>
      </c>
      <c r="W305" s="103" t="str">
        <f t="shared" si="146"/>
        <v/>
      </c>
      <c r="X305" s="103" t="str">
        <f t="shared" si="147"/>
        <v/>
      </c>
      <c r="Y305" s="100" t="str">
        <f t="shared" si="148"/>
        <v/>
      </c>
      <c r="Z305" s="100" t="str">
        <f t="shared" si="149"/>
        <v/>
      </c>
      <c r="AA305" s="100" t="e">
        <f t="shared" si="150"/>
        <v>#VALUE!</v>
      </c>
      <c r="AB305" s="100" t="e">
        <f t="shared" si="151"/>
        <v>#VALUE!</v>
      </c>
      <c r="AC305" s="100" t="e">
        <f t="shared" si="152"/>
        <v>#VALUE!</v>
      </c>
      <c r="AD305" s="100" t="e">
        <f t="shared" si="153"/>
        <v>#VALUE!</v>
      </c>
      <c r="AE305" s="8" t="str">
        <f t="shared" si="126"/>
        <v/>
      </c>
      <c r="AF305" s="8" t="str">
        <f t="shared" si="127"/>
        <v/>
      </c>
      <c r="AG305" s="7" t="str">
        <f t="shared" si="154"/>
        <v>Good</v>
      </c>
      <c r="AI305" s="100">
        <f t="shared" si="155"/>
        <v>29.010170710000001</v>
      </c>
      <c r="AJ305" s="100">
        <f t="shared" si="156"/>
        <v>47.637647078999997</v>
      </c>
    </row>
    <row r="306" spans="1:36" x14ac:dyDescent="0.2">
      <c r="A306" s="8">
        <v>33.58</v>
      </c>
      <c r="B306" s="100">
        <v>29.010207843</v>
      </c>
      <c r="C306" s="100">
        <v>47.637497007</v>
      </c>
      <c r="D306" s="101">
        <v>33580.379467219282</v>
      </c>
      <c r="E306" s="42" t="str">
        <f t="shared" si="128"/>
        <v/>
      </c>
      <c r="F306" s="7" t="str">
        <f t="shared" si="129"/>
        <v/>
      </c>
      <c r="G306" s="100" t="str">
        <f t="shared" si="130"/>
        <v/>
      </c>
      <c r="H306" s="100" t="str">
        <f t="shared" si="131"/>
        <v/>
      </c>
      <c r="I306" s="100" t="str">
        <f t="shared" si="132"/>
        <v/>
      </c>
      <c r="J306" s="100" t="str">
        <f t="shared" si="133"/>
        <v/>
      </c>
      <c r="K306" s="102" t="str">
        <f t="shared" si="134"/>
        <v/>
      </c>
      <c r="L306" s="103" t="str">
        <f t="shared" si="135"/>
        <v/>
      </c>
      <c r="M306" s="103" t="str">
        <f t="shared" si="136"/>
        <v/>
      </c>
      <c r="N306" s="103" t="str">
        <f t="shared" si="137"/>
        <v/>
      </c>
      <c r="O306" s="103" t="str">
        <f t="shared" si="138"/>
        <v/>
      </c>
      <c r="P306" s="105" t="str">
        <f t="shared" si="139"/>
        <v/>
      </c>
      <c r="Q306" s="105" t="str">
        <f t="shared" si="140"/>
        <v/>
      </c>
      <c r="R306" s="104" t="str">
        <f t="shared" si="141"/>
        <v/>
      </c>
      <c r="S306" s="104" t="str">
        <f t="shared" si="142"/>
        <v/>
      </c>
      <c r="T306" s="105" t="str">
        <f t="shared" si="143"/>
        <v/>
      </c>
      <c r="U306" s="14" t="str">
        <f t="shared" si="144"/>
        <v/>
      </c>
      <c r="V306" s="14" t="str">
        <f t="shared" si="145"/>
        <v/>
      </c>
      <c r="W306" s="103" t="str">
        <f t="shared" si="146"/>
        <v/>
      </c>
      <c r="X306" s="103" t="str">
        <f t="shared" si="147"/>
        <v/>
      </c>
      <c r="Y306" s="100" t="str">
        <f t="shared" si="148"/>
        <v/>
      </c>
      <c r="Z306" s="100" t="str">
        <f t="shared" si="149"/>
        <v/>
      </c>
      <c r="AA306" s="100" t="e">
        <f t="shared" si="150"/>
        <v>#VALUE!</v>
      </c>
      <c r="AB306" s="100" t="e">
        <f t="shared" si="151"/>
        <v>#VALUE!</v>
      </c>
      <c r="AC306" s="100" t="e">
        <f t="shared" si="152"/>
        <v>#VALUE!</v>
      </c>
      <c r="AD306" s="100" t="e">
        <f t="shared" si="153"/>
        <v>#VALUE!</v>
      </c>
      <c r="AE306" s="8" t="str">
        <f t="shared" si="126"/>
        <v/>
      </c>
      <c r="AF306" s="8" t="str">
        <f t="shared" si="127"/>
        <v/>
      </c>
      <c r="AG306" s="7" t="str">
        <f t="shared" si="154"/>
        <v>Good</v>
      </c>
      <c r="AI306" s="100">
        <f t="shared" si="155"/>
        <v>29.010207843</v>
      </c>
      <c r="AJ306" s="100">
        <f t="shared" si="156"/>
        <v>47.637497007</v>
      </c>
    </row>
    <row r="307" spans="1:36" x14ac:dyDescent="0.2">
      <c r="A307" s="8">
        <v>33.581000000000003</v>
      </c>
      <c r="B307" s="100">
        <v>29.010207999999999</v>
      </c>
      <c r="C307" s="100">
        <v>47.637490999999997</v>
      </c>
      <c r="D307" s="101">
        <v>33581</v>
      </c>
      <c r="E307" s="42" t="str">
        <f t="shared" si="128"/>
        <v/>
      </c>
      <c r="F307" s="7" t="str">
        <f t="shared" si="129"/>
        <v/>
      </c>
      <c r="G307" s="100" t="str">
        <f t="shared" si="130"/>
        <v/>
      </c>
      <c r="H307" s="100" t="str">
        <f t="shared" si="131"/>
        <v/>
      </c>
      <c r="I307" s="100" t="str">
        <f t="shared" si="132"/>
        <v/>
      </c>
      <c r="J307" s="100" t="str">
        <f t="shared" si="133"/>
        <v/>
      </c>
      <c r="K307" s="102" t="str">
        <f t="shared" si="134"/>
        <v/>
      </c>
      <c r="L307" s="103" t="str">
        <f t="shared" si="135"/>
        <v/>
      </c>
      <c r="M307" s="103" t="str">
        <f t="shared" si="136"/>
        <v/>
      </c>
      <c r="N307" s="103" t="str">
        <f t="shared" si="137"/>
        <v/>
      </c>
      <c r="O307" s="103" t="str">
        <f t="shared" si="138"/>
        <v/>
      </c>
      <c r="P307" s="105" t="str">
        <f t="shared" si="139"/>
        <v/>
      </c>
      <c r="Q307" s="105" t="str">
        <f t="shared" si="140"/>
        <v/>
      </c>
      <c r="R307" s="104" t="str">
        <f t="shared" si="141"/>
        <v/>
      </c>
      <c r="S307" s="104" t="str">
        <f t="shared" si="142"/>
        <v/>
      </c>
      <c r="T307" s="105" t="str">
        <f t="shared" si="143"/>
        <v/>
      </c>
      <c r="U307" s="14" t="str">
        <f t="shared" si="144"/>
        <v/>
      </c>
      <c r="V307" s="14" t="str">
        <f t="shared" si="145"/>
        <v/>
      </c>
      <c r="W307" s="103" t="str">
        <f t="shared" si="146"/>
        <v/>
      </c>
      <c r="X307" s="103" t="str">
        <f t="shared" si="147"/>
        <v/>
      </c>
      <c r="Y307" s="100" t="str">
        <f t="shared" si="148"/>
        <v/>
      </c>
      <c r="Z307" s="100" t="str">
        <f t="shared" si="149"/>
        <v/>
      </c>
      <c r="AA307" s="100" t="e">
        <f t="shared" si="150"/>
        <v>#VALUE!</v>
      </c>
      <c r="AB307" s="100" t="e">
        <f t="shared" si="151"/>
        <v>#VALUE!</v>
      </c>
      <c r="AC307" s="100" t="e">
        <f t="shared" si="152"/>
        <v>#VALUE!</v>
      </c>
      <c r="AD307" s="100" t="e">
        <f t="shared" si="153"/>
        <v>#VALUE!</v>
      </c>
      <c r="AE307" s="8" t="str">
        <f t="shared" si="126"/>
        <v/>
      </c>
      <c r="AF307" s="8" t="str">
        <f t="shared" si="127"/>
        <v/>
      </c>
      <c r="AG307" s="7" t="str">
        <f t="shared" si="154"/>
        <v>Good</v>
      </c>
      <c r="AI307" s="100">
        <f t="shared" si="155"/>
        <v>29.010207999999999</v>
      </c>
      <c r="AJ307" s="100">
        <f t="shared" si="156"/>
        <v>47.637490999999997</v>
      </c>
    </row>
    <row r="308" spans="1:36" x14ac:dyDescent="0.2">
      <c r="A308" s="8">
        <v>33.582000000000001</v>
      </c>
      <c r="B308" s="100">
        <v>29.010209216</v>
      </c>
      <c r="C308" s="100">
        <v>47.637476651</v>
      </c>
      <c r="D308" s="101">
        <v>33582.360433940819</v>
      </c>
      <c r="E308" s="42" t="str">
        <f t="shared" si="128"/>
        <v/>
      </c>
      <c r="F308" s="7" t="str">
        <f t="shared" si="129"/>
        <v/>
      </c>
      <c r="G308" s="100" t="str">
        <f t="shared" si="130"/>
        <v/>
      </c>
      <c r="H308" s="100" t="str">
        <f t="shared" si="131"/>
        <v/>
      </c>
      <c r="I308" s="100" t="str">
        <f t="shared" si="132"/>
        <v/>
      </c>
      <c r="J308" s="100" t="str">
        <f t="shared" si="133"/>
        <v/>
      </c>
      <c r="K308" s="102" t="str">
        <f t="shared" si="134"/>
        <v/>
      </c>
      <c r="L308" s="103" t="str">
        <f t="shared" si="135"/>
        <v/>
      </c>
      <c r="M308" s="103" t="str">
        <f t="shared" si="136"/>
        <v/>
      </c>
      <c r="N308" s="103" t="str">
        <f t="shared" si="137"/>
        <v/>
      </c>
      <c r="O308" s="103" t="str">
        <f t="shared" si="138"/>
        <v/>
      </c>
      <c r="P308" s="105" t="str">
        <f t="shared" si="139"/>
        <v/>
      </c>
      <c r="Q308" s="105" t="str">
        <f t="shared" si="140"/>
        <v/>
      </c>
      <c r="R308" s="104" t="str">
        <f t="shared" si="141"/>
        <v/>
      </c>
      <c r="S308" s="104" t="str">
        <f t="shared" si="142"/>
        <v/>
      </c>
      <c r="T308" s="105" t="str">
        <f t="shared" si="143"/>
        <v/>
      </c>
      <c r="U308" s="14" t="str">
        <f t="shared" si="144"/>
        <v/>
      </c>
      <c r="V308" s="14" t="str">
        <f t="shared" si="145"/>
        <v/>
      </c>
      <c r="W308" s="103" t="str">
        <f t="shared" si="146"/>
        <v/>
      </c>
      <c r="X308" s="103" t="str">
        <f t="shared" si="147"/>
        <v/>
      </c>
      <c r="Y308" s="100" t="str">
        <f t="shared" si="148"/>
        <v/>
      </c>
      <c r="Z308" s="100" t="str">
        <f t="shared" si="149"/>
        <v/>
      </c>
      <c r="AA308" s="100" t="e">
        <f t="shared" si="150"/>
        <v>#VALUE!</v>
      </c>
      <c r="AB308" s="100" t="e">
        <f t="shared" si="151"/>
        <v>#VALUE!</v>
      </c>
      <c r="AC308" s="100" t="e">
        <f t="shared" si="152"/>
        <v>#VALUE!</v>
      </c>
      <c r="AD308" s="100" t="e">
        <f t="shared" si="153"/>
        <v>#VALUE!</v>
      </c>
      <c r="AE308" s="8" t="str">
        <f t="shared" si="126"/>
        <v/>
      </c>
      <c r="AF308" s="8" t="str">
        <f t="shared" si="127"/>
        <v/>
      </c>
      <c r="AG308" s="7" t="str">
        <f t="shared" si="154"/>
        <v>Good</v>
      </c>
      <c r="AI308" s="100">
        <f t="shared" si="155"/>
        <v>29.010209216</v>
      </c>
      <c r="AJ308" s="100">
        <f t="shared" si="156"/>
        <v>47.637476651</v>
      </c>
    </row>
    <row r="309" spans="1:36" x14ac:dyDescent="0.2">
      <c r="A309" s="8">
        <v>33.591999999999999</v>
      </c>
      <c r="B309" s="100">
        <v>29.010237322999998</v>
      </c>
      <c r="C309" s="100">
        <v>47.637380055000001</v>
      </c>
      <c r="D309" s="101">
        <v>33592.252992489208</v>
      </c>
      <c r="E309" s="42" t="str">
        <f t="shared" si="128"/>
        <v/>
      </c>
      <c r="F309" s="7" t="str">
        <f t="shared" si="129"/>
        <v/>
      </c>
      <c r="G309" s="100" t="str">
        <f t="shared" si="130"/>
        <v/>
      </c>
      <c r="H309" s="100" t="str">
        <f t="shared" si="131"/>
        <v/>
      </c>
      <c r="I309" s="100" t="str">
        <f t="shared" si="132"/>
        <v/>
      </c>
      <c r="J309" s="100" t="str">
        <f t="shared" si="133"/>
        <v/>
      </c>
      <c r="K309" s="102" t="str">
        <f t="shared" si="134"/>
        <v/>
      </c>
      <c r="L309" s="103" t="str">
        <f t="shared" si="135"/>
        <v/>
      </c>
      <c r="M309" s="103" t="str">
        <f t="shared" si="136"/>
        <v/>
      </c>
      <c r="N309" s="103" t="str">
        <f t="shared" si="137"/>
        <v/>
      </c>
      <c r="O309" s="103" t="str">
        <f t="shared" si="138"/>
        <v/>
      </c>
      <c r="P309" s="105" t="str">
        <f t="shared" si="139"/>
        <v/>
      </c>
      <c r="Q309" s="105" t="str">
        <f t="shared" si="140"/>
        <v/>
      </c>
      <c r="R309" s="104" t="str">
        <f t="shared" si="141"/>
        <v/>
      </c>
      <c r="S309" s="104" t="str">
        <f t="shared" si="142"/>
        <v/>
      </c>
      <c r="T309" s="105" t="str">
        <f t="shared" si="143"/>
        <v/>
      </c>
      <c r="U309" s="14" t="str">
        <f t="shared" si="144"/>
        <v/>
      </c>
      <c r="V309" s="14" t="str">
        <f t="shared" si="145"/>
        <v/>
      </c>
      <c r="W309" s="103" t="str">
        <f t="shared" si="146"/>
        <v/>
      </c>
      <c r="X309" s="103" t="str">
        <f t="shared" si="147"/>
        <v/>
      </c>
      <c r="Y309" s="100" t="str">
        <f t="shared" si="148"/>
        <v/>
      </c>
      <c r="Z309" s="100" t="str">
        <f t="shared" si="149"/>
        <v/>
      </c>
      <c r="AA309" s="100" t="e">
        <f t="shared" si="150"/>
        <v>#VALUE!</v>
      </c>
      <c r="AB309" s="100" t="e">
        <f t="shared" si="151"/>
        <v>#VALUE!</v>
      </c>
      <c r="AC309" s="100" t="e">
        <f t="shared" si="152"/>
        <v>#VALUE!</v>
      </c>
      <c r="AD309" s="100" t="e">
        <f t="shared" si="153"/>
        <v>#VALUE!</v>
      </c>
      <c r="AE309" s="8" t="str">
        <f t="shared" si="126"/>
        <v/>
      </c>
      <c r="AF309" s="8" t="str">
        <f t="shared" si="127"/>
        <v/>
      </c>
      <c r="AG309" s="7" t="str">
        <f t="shared" si="154"/>
        <v>Good</v>
      </c>
      <c r="AI309" s="100">
        <f t="shared" si="155"/>
        <v>29.010237322999998</v>
      </c>
      <c r="AJ309" s="100">
        <f t="shared" si="156"/>
        <v>47.637380055000001</v>
      </c>
    </row>
    <row r="310" spans="1:36" x14ac:dyDescent="0.2">
      <c r="A310" s="8">
        <v>33.847000000000001</v>
      </c>
      <c r="D310" s="101">
        <v>33847</v>
      </c>
      <c r="E310" s="42">
        <f t="shared" si="128"/>
        <v>254.74700751079217</v>
      </c>
      <c r="F310" s="7">
        <f t="shared" si="129"/>
        <v>1</v>
      </c>
      <c r="G310" s="100">
        <f t="shared" si="130"/>
        <v>29.010237322999998</v>
      </c>
      <c r="H310" s="100">
        <f t="shared" si="131"/>
        <v>47.637380055000001</v>
      </c>
      <c r="I310" s="100">
        <f t="shared" si="132"/>
        <v>29.010888342000001</v>
      </c>
      <c r="J310" s="100">
        <f t="shared" si="133"/>
        <v>47.634856808000002</v>
      </c>
      <c r="K310" s="102">
        <f t="shared" si="134"/>
        <v>38</v>
      </c>
      <c r="L310" s="103">
        <f t="shared" si="135"/>
        <v>3211988.609274385</v>
      </c>
      <c r="M310" s="103">
        <f t="shared" si="136"/>
        <v>756903.71889136382</v>
      </c>
      <c r="N310" s="103">
        <f t="shared" si="137"/>
        <v>3212055.2872449094</v>
      </c>
      <c r="O310" s="103">
        <f t="shared" si="138"/>
        <v>756656.22959473787</v>
      </c>
      <c r="P310" s="105">
        <f t="shared" si="139"/>
        <v>66.677970524411649</v>
      </c>
      <c r="Q310" s="105">
        <f t="shared" si="140"/>
        <v>-247.48929662595037</v>
      </c>
      <c r="R310" s="104">
        <f t="shared" si="141"/>
        <v>256.31407237540031</v>
      </c>
      <c r="S310" s="104" t="str">
        <f t="shared" si="142"/>
        <v>NW</v>
      </c>
      <c r="T310" s="105">
        <f t="shared" si="143"/>
        <v>0.2631689203212132</v>
      </c>
      <c r="U310" s="14">
        <f t="shared" si="144"/>
        <v>-245.97618508464925</v>
      </c>
      <c r="V310" s="14">
        <f t="shared" si="145"/>
        <v>66.270311655416151</v>
      </c>
      <c r="W310" s="103">
        <f t="shared" si="146"/>
        <v>3212054.8795860405</v>
      </c>
      <c r="X310" s="103">
        <f t="shared" si="147"/>
        <v>756657.74270627915</v>
      </c>
      <c r="Y310" s="100">
        <f t="shared" si="148"/>
        <v>29.010884333966981</v>
      </c>
      <c r="Z310" s="100">
        <f t="shared" si="149"/>
        <v>47.634872235229452</v>
      </c>
      <c r="AA310" s="100">
        <f t="shared" si="150"/>
        <v>-6.4701096698271954E-4</v>
      </c>
      <c r="AB310" s="100">
        <f t="shared" si="151"/>
        <v>-4.0080330201419656E-6</v>
      </c>
      <c r="AC310" s="100">
        <f t="shared" si="152"/>
        <v>2.5078197705497018E-3</v>
      </c>
      <c r="AD310" s="100">
        <f t="shared" si="153"/>
        <v>1.5427229449471724E-5</v>
      </c>
      <c r="AE310" s="8" t="str">
        <f t="shared" si="126"/>
        <v>Good</v>
      </c>
      <c r="AF310" s="8" t="str">
        <f t="shared" si="127"/>
        <v>Good</v>
      </c>
      <c r="AG310" s="7" t="str">
        <f t="shared" si="154"/>
        <v>Good</v>
      </c>
      <c r="AI310" s="100">
        <f t="shared" si="155"/>
        <v>29.010884333966981</v>
      </c>
      <c r="AJ310" s="100">
        <f t="shared" si="156"/>
        <v>47.634872235229452</v>
      </c>
    </row>
    <row r="311" spans="1:36" x14ac:dyDescent="0.2">
      <c r="A311" s="8">
        <v>33.847999999999999</v>
      </c>
      <c r="B311" s="100">
        <v>29.010888342000001</v>
      </c>
      <c r="C311" s="100">
        <v>47.634856808000002</v>
      </c>
      <c r="D311" s="101">
        <v>33847.90459044704</v>
      </c>
      <c r="E311" s="42" t="str">
        <f t="shared" si="128"/>
        <v/>
      </c>
      <c r="F311" s="7" t="str">
        <f t="shared" si="129"/>
        <v/>
      </c>
      <c r="G311" s="100" t="str">
        <f t="shared" si="130"/>
        <v/>
      </c>
      <c r="H311" s="100" t="str">
        <f t="shared" si="131"/>
        <v/>
      </c>
      <c r="I311" s="100" t="str">
        <f t="shared" si="132"/>
        <v/>
      </c>
      <c r="J311" s="100" t="str">
        <f t="shared" si="133"/>
        <v/>
      </c>
      <c r="K311" s="102" t="str">
        <f t="shared" si="134"/>
        <v/>
      </c>
      <c r="L311" s="103" t="str">
        <f t="shared" si="135"/>
        <v/>
      </c>
      <c r="M311" s="103" t="str">
        <f t="shared" si="136"/>
        <v/>
      </c>
      <c r="N311" s="103" t="str">
        <f t="shared" si="137"/>
        <v/>
      </c>
      <c r="O311" s="103" t="str">
        <f t="shared" si="138"/>
        <v/>
      </c>
      <c r="P311" s="105" t="str">
        <f t="shared" si="139"/>
        <v/>
      </c>
      <c r="Q311" s="105" t="str">
        <f t="shared" si="140"/>
        <v/>
      </c>
      <c r="R311" s="104" t="str">
        <f t="shared" si="141"/>
        <v/>
      </c>
      <c r="S311" s="104" t="str">
        <f t="shared" si="142"/>
        <v/>
      </c>
      <c r="T311" s="105" t="str">
        <f t="shared" si="143"/>
        <v/>
      </c>
      <c r="U311" s="14" t="str">
        <f t="shared" si="144"/>
        <v/>
      </c>
      <c r="V311" s="14" t="str">
        <f t="shared" si="145"/>
        <v/>
      </c>
      <c r="W311" s="103" t="str">
        <f t="shared" si="146"/>
        <v/>
      </c>
      <c r="X311" s="103" t="str">
        <f t="shared" si="147"/>
        <v/>
      </c>
      <c r="Y311" s="100" t="str">
        <f t="shared" si="148"/>
        <v/>
      </c>
      <c r="Z311" s="100" t="str">
        <f t="shared" si="149"/>
        <v/>
      </c>
      <c r="AA311" s="100" t="e">
        <f t="shared" si="150"/>
        <v>#VALUE!</v>
      </c>
      <c r="AB311" s="100" t="e">
        <f t="shared" si="151"/>
        <v>#VALUE!</v>
      </c>
      <c r="AC311" s="100" t="e">
        <f t="shared" si="152"/>
        <v>#VALUE!</v>
      </c>
      <c r="AD311" s="100" t="e">
        <f t="shared" si="153"/>
        <v>#VALUE!</v>
      </c>
      <c r="AE311" s="8" t="str">
        <f t="shared" si="126"/>
        <v/>
      </c>
      <c r="AF311" s="8" t="str">
        <f t="shared" si="127"/>
        <v/>
      </c>
      <c r="AG311" s="7" t="str">
        <f t="shared" si="154"/>
        <v>Good</v>
      </c>
      <c r="AI311" s="100">
        <f t="shared" si="155"/>
        <v>29.010888342000001</v>
      </c>
      <c r="AJ311" s="100">
        <f t="shared" si="156"/>
        <v>47.634856808000002</v>
      </c>
    </row>
    <row r="312" spans="1:36" x14ac:dyDescent="0.2">
      <c r="A312" s="8">
        <v>33.972000000000001</v>
      </c>
      <c r="B312" s="100">
        <v>29.011216208</v>
      </c>
      <c r="C312" s="100">
        <v>47.633633809000003</v>
      </c>
      <c r="D312" s="101">
        <v>33972.210858649429</v>
      </c>
      <c r="E312" s="42" t="str">
        <f t="shared" si="128"/>
        <v/>
      </c>
      <c r="F312" s="7" t="str">
        <f t="shared" si="129"/>
        <v/>
      </c>
      <c r="G312" s="100" t="str">
        <f t="shared" si="130"/>
        <v/>
      </c>
      <c r="H312" s="100" t="str">
        <f t="shared" si="131"/>
        <v/>
      </c>
      <c r="I312" s="100" t="str">
        <f t="shared" si="132"/>
        <v/>
      </c>
      <c r="J312" s="100" t="str">
        <f t="shared" si="133"/>
        <v/>
      </c>
      <c r="K312" s="102" t="str">
        <f t="shared" si="134"/>
        <v/>
      </c>
      <c r="L312" s="103" t="str">
        <f t="shared" si="135"/>
        <v/>
      </c>
      <c r="M312" s="103" t="str">
        <f t="shared" si="136"/>
        <v/>
      </c>
      <c r="N312" s="103" t="str">
        <f t="shared" si="137"/>
        <v/>
      </c>
      <c r="O312" s="103" t="str">
        <f t="shared" si="138"/>
        <v/>
      </c>
      <c r="P312" s="105" t="str">
        <f t="shared" si="139"/>
        <v/>
      </c>
      <c r="Q312" s="105" t="str">
        <f t="shared" si="140"/>
        <v/>
      </c>
      <c r="R312" s="104" t="str">
        <f t="shared" si="141"/>
        <v/>
      </c>
      <c r="S312" s="104" t="str">
        <f t="shared" si="142"/>
        <v/>
      </c>
      <c r="T312" s="105" t="str">
        <f t="shared" si="143"/>
        <v/>
      </c>
      <c r="U312" s="14" t="str">
        <f t="shared" si="144"/>
        <v/>
      </c>
      <c r="V312" s="14" t="str">
        <f t="shared" si="145"/>
        <v/>
      </c>
      <c r="W312" s="103" t="str">
        <f t="shared" si="146"/>
        <v/>
      </c>
      <c r="X312" s="103" t="str">
        <f t="shared" si="147"/>
        <v/>
      </c>
      <c r="Y312" s="100" t="str">
        <f t="shared" si="148"/>
        <v/>
      </c>
      <c r="Z312" s="100" t="str">
        <f t="shared" si="149"/>
        <v/>
      </c>
      <c r="AA312" s="100" t="e">
        <f t="shared" si="150"/>
        <v>#VALUE!</v>
      </c>
      <c r="AB312" s="100" t="e">
        <f t="shared" si="151"/>
        <v>#VALUE!</v>
      </c>
      <c r="AC312" s="100" t="e">
        <f t="shared" si="152"/>
        <v>#VALUE!</v>
      </c>
      <c r="AD312" s="100" t="e">
        <f t="shared" si="153"/>
        <v>#VALUE!</v>
      </c>
      <c r="AE312" s="8" t="str">
        <f t="shared" si="126"/>
        <v/>
      </c>
      <c r="AF312" s="8" t="str">
        <f t="shared" si="127"/>
        <v/>
      </c>
      <c r="AG312" s="7" t="str">
        <f t="shared" si="154"/>
        <v>Good</v>
      </c>
      <c r="AI312" s="100">
        <f t="shared" si="155"/>
        <v>29.011216208</v>
      </c>
      <c r="AJ312" s="100">
        <f t="shared" si="156"/>
        <v>47.633633809000003</v>
      </c>
    </row>
    <row r="313" spans="1:36" x14ac:dyDescent="0.2">
      <c r="A313" s="8">
        <v>34.033000000000001</v>
      </c>
      <c r="B313" s="100">
        <v>29.011360580000002</v>
      </c>
      <c r="C313" s="100">
        <v>47.633029315999998</v>
      </c>
      <c r="D313" s="101">
        <v>34033.104803593902</v>
      </c>
      <c r="E313" s="42" t="str">
        <f t="shared" si="128"/>
        <v/>
      </c>
      <c r="F313" s="7" t="str">
        <f t="shared" si="129"/>
        <v/>
      </c>
      <c r="G313" s="100" t="str">
        <f t="shared" si="130"/>
        <v/>
      </c>
      <c r="H313" s="100" t="str">
        <f t="shared" si="131"/>
        <v/>
      </c>
      <c r="I313" s="100" t="str">
        <f t="shared" si="132"/>
        <v/>
      </c>
      <c r="J313" s="100" t="str">
        <f t="shared" si="133"/>
        <v/>
      </c>
      <c r="K313" s="102" t="str">
        <f t="shared" si="134"/>
        <v/>
      </c>
      <c r="L313" s="103" t="str">
        <f t="shared" si="135"/>
        <v/>
      </c>
      <c r="M313" s="103" t="str">
        <f t="shared" si="136"/>
        <v/>
      </c>
      <c r="N313" s="103" t="str">
        <f t="shared" si="137"/>
        <v/>
      </c>
      <c r="O313" s="103" t="str">
        <f t="shared" si="138"/>
        <v/>
      </c>
      <c r="P313" s="105" t="str">
        <f t="shared" si="139"/>
        <v/>
      </c>
      <c r="Q313" s="105" t="str">
        <f t="shared" si="140"/>
        <v/>
      </c>
      <c r="R313" s="104" t="str">
        <f t="shared" si="141"/>
        <v/>
      </c>
      <c r="S313" s="104" t="str">
        <f t="shared" si="142"/>
        <v/>
      </c>
      <c r="T313" s="105" t="str">
        <f t="shared" si="143"/>
        <v/>
      </c>
      <c r="U313" s="14" t="str">
        <f t="shared" si="144"/>
        <v/>
      </c>
      <c r="V313" s="14" t="str">
        <f t="shared" si="145"/>
        <v/>
      </c>
      <c r="W313" s="103" t="str">
        <f t="shared" si="146"/>
        <v/>
      </c>
      <c r="X313" s="103" t="str">
        <f t="shared" si="147"/>
        <v/>
      </c>
      <c r="Y313" s="100" t="str">
        <f t="shared" si="148"/>
        <v/>
      </c>
      <c r="Z313" s="100" t="str">
        <f t="shared" si="149"/>
        <v/>
      </c>
      <c r="AA313" s="100" t="e">
        <f t="shared" si="150"/>
        <v>#VALUE!</v>
      </c>
      <c r="AB313" s="100" t="e">
        <f t="shared" si="151"/>
        <v>#VALUE!</v>
      </c>
      <c r="AC313" s="100" t="e">
        <f t="shared" si="152"/>
        <v>#VALUE!</v>
      </c>
      <c r="AD313" s="100" t="e">
        <f t="shared" si="153"/>
        <v>#VALUE!</v>
      </c>
      <c r="AE313" s="8" t="str">
        <f t="shared" si="126"/>
        <v/>
      </c>
      <c r="AF313" s="8" t="str">
        <f t="shared" si="127"/>
        <v/>
      </c>
      <c r="AG313" s="7" t="str">
        <f t="shared" si="154"/>
        <v>Good</v>
      </c>
      <c r="AI313" s="100">
        <f t="shared" si="155"/>
        <v>29.011360580000002</v>
      </c>
      <c r="AJ313" s="100">
        <f t="shared" si="156"/>
        <v>47.633029315999998</v>
      </c>
    </row>
    <row r="314" spans="1:36" x14ac:dyDescent="0.2">
      <c r="A314" s="8">
        <v>34.408000000000001</v>
      </c>
      <c r="B314" s="100">
        <v>29.012311620999998</v>
      </c>
      <c r="C314" s="100">
        <v>47.629322658</v>
      </c>
      <c r="D314" s="101">
        <v>34408.487124054649</v>
      </c>
      <c r="E314" s="42" t="str">
        <f t="shared" si="128"/>
        <v/>
      </c>
      <c r="F314" s="7" t="str">
        <f t="shared" si="129"/>
        <v/>
      </c>
      <c r="G314" s="100" t="str">
        <f t="shared" si="130"/>
        <v/>
      </c>
      <c r="H314" s="100" t="str">
        <f t="shared" si="131"/>
        <v/>
      </c>
      <c r="I314" s="100" t="str">
        <f t="shared" si="132"/>
        <v/>
      </c>
      <c r="J314" s="100" t="str">
        <f t="shared" si="133"/>
        <v/>
      </c>
      <c r="K314" s="102" t="str">
        <f t="shared" si="134"/>
        <v/>
      </c>
      <c r="L314" s="103" t="str">
        <f t="shared" si="135"/>
        <v/>
      </c>
      <c r="M314" s="103" t="str">
        <f t="shared" si="136"/>
        <v/>
      </c>
      <c r="N314" s="103" t="str">
        <f t="shared" si="137"/>
        <v/>
      </c>
      <c r="O314" s="103" t="str">
        <f t="shared" si="138"/>
        <v/>
      </c>
      <c r="P314" s="105" t="str">
        <f t="shared" si="139"/>
        <v/>
      </c>
      <c r="Q314" s="105" t="str">
        <f t="shared" si="140"/>
        <v/>
      </c>
      <c r="R314" s="104" t="str">
        <f t="shared" si="141"/>
        <v/>
      </c>
      <c r="S314" s="104" t="str">
        <f t="shared" si="142"/>
        <v/>
      </c>
      <c r="T314" s="105" t="str">
        <f t="shared" si="143"/>
        <v/>
      </c>
      <c r="U314" s="14" t="str">
        <f t="shared" si="144"/>
        <v/>
      </c>
      <c r="V314" s="14" t="str">
        <f t="shared" si="145"/>
        <v/>
      </c>
      <c r="W314" s="103" t="str">
        <f t="shared" si="146"/>
        <v/>
      </c>
      <c r="X314" s="103" t="str">
        <f t="shared" si="147"/>
        <v/>
      </c>
      <c r="Y314" s="100" t="str">
        <f t="shared" si="148"/>
        <v/>
      </c>
      <c r="Z314" s="100" t="str">
        <f t="shared" si="149"/>
        <v/>
      </c>
      <c r="AA314" s="100" t="e">
        <f t="shared" si="150"/>
        <v>#VALUE!</v>
      </c>
      <c r="AB314" s="100" t="e">
        <f t="shared" si="151"/>
        <v>#VALUE!</v>
      </c>
      <c r="AC314" s="100" t="e">
        <f t="shared" si="152"/>
        <v>#VALUE!</v>
      </c>
      <c r="AD314" s="100" t="e">
        <f t="shared" si="153"/>
        <v>#VALUE!</v>
      </c>
      <c r="AE314" s="8" t="str">
        <f t="shared" si="126"/>
        <v/>
      </c>
      <c r="AF314" s="8" t="str">
        <f t="shared" si="127"/>
        <v/>
      </c>
      <c r="AG314" s="7" t="str">
        <f t="shared" si="154"/>
        <v>Good</v>
      </c>
      <c r="AI314" s="100">
        <f t="shared" si="155"/>
        <v>29.012311620999998</v>
      </c>
      <c r="AJ314" s="100">
        <f t="shared" si="156"/>
        <v>47.629322658</v>
      </c>
    </row>
    <row r="315" spans="1:36" x14ac:dyDescent="0.2">
      <c r="A315" s="8">
        <v>34.462000000000003</v>
      </c>
      <c r="B315" s="100">
        <v>29.012455582000001</v>
      </c>
      <c r="C315" s="100">
        <v>47.628792515000001</v>
      </c>
      <c r="D315" s="101">
        <v>34462.430667898079</v>
      </c>
      <c r="E315" s="42" t="str">
        <f t="shared" si="128"/>
        <v/>
      </c>
      <c r="F315" s="7" t="str">
        <f t="shared" si="129"/>
        <v/>
      </c>
      <c r="G315" s="100" t="str">
        <f t="shared" si="130"/>
        <v/>
      </c>
      <c r="H315" s="100" t="str">
        <f t="shared" si="131"/>
        <v/>
      </c>
      <c r="I315" s="100" t="str">
        <f t="shared" si="132"/>
        <v/>
      </c>
      <c r="J315" s="100" t="str">
        <f t="shared" si="133"/>
        <v/>
      </c>
      <c r="K315" s="102" t="str">
        <f t="shared" si="134"/>
        <v/>
      </c>
      <c r="L315" s="103" t="str">
        <f t="shared" si="135"/>
        <v/>
      </c>
      <c r="M315" s="103" t="str">
        <f t="shared" si="136"/>
        <v/>
      </c>
      <c r="N315" s="103" t="str">
        <f t="shared" si="137"/>
        <v/>
      </c>
      <c r="O315" s="103" t="str">
        <f t="shared" si="138"/>
        <v/>
      </c>
      <c r="P315" s="105" t="str">
        <f t="shared" si="139"/>
        <v/>
      </c>
      <c r="Q315" s="105" t="str">
        <f t="shared" si="140"/>
        <v/>
      </c>
      <c r="R315" s="104" t="str">
        <f t="shared" si="141"/>
        <v/>
      </c>
      <c r="S315" s="104" t="str">
        <f t="shared" si="142"/>
        <v/>
      </c>
      <c r="T315" s="105" t="str">
        <f t="shared" si="143"/>
        <v/>
      </c>
      <c r="U315" s="14" t="str">
        <f t="shared" si="144"/>
        <v/>
      </c>
      <c r="V315" s="14" t="str">
        <f t="shared" si="145"/>
        <v/>
      </c>
      <c r="W315" s="103" t="str">
        <f t="shared" si="146"/>
        <v/>
      </c>
      <c r="X315" s="103" t="str">
        <f t="shared" si="147"/>
        <v/>
      </c>
      <c r="Y315" s="100" t="str">
        <f t="shared" si="148"/>
        <v/>
      </c>
      <c r="Z315" s="100" t="str">
        <f t="shared" si="149"/>
        <v/>
      </c>
      <c r="AA315" s="100" t="e">
        <f t="shared" si="150"/>
        <v>#VALUE!</v>
      </c>
      <c r="AB315" s="100" t="e">
        <f t="shared" si="151"/>
        <v>#VALUE!</v>
      </c>
      <c r="AC315" s="100" t="e">
        <f t="shared" si="152"/>
        <v>#VALUE!</v>
      </c>
      <c r="AD315" s="100" t="e">
        <f t="shared" si="153"/>
        <v>#VALUE!</v>
      </c>
      <c r="AE315" s="8" t="str">
        <f t="shared" si="126"/>
        <v/>
      </c>
      <c r="AF315" s="8" t="str">
        <f t="shared" si="127"/>
        <v/>
      </c>
      <c r="AG315" s="7" t="str">
        <f t="shared" si="154"/>
        <v>Good</v>
      </c>
      <c r="AI315" s="100">
        <f t="shared" si="155"/>
        <v>29.012455582000001</v>
      </c>
      <c r="AJ315" s="100">
        <f t="shared" si="156"/>
        <v>47.628792515000001</v>
      </c>
    </row>
    <row r="316" spans="1:36" x14ac:dyDescent="0.2">
      <c r="A316" s="8">
        <v>34.497999999999998</v>
      </c>
      <c r="B316" s="100">
        <v>29.012542206999999</v>
      </c>
      <c r="C316" s="100">
        <v>47.628436964000002</v>
      </c>
      <c r="D316" s="101">
        <v>34498.297339330602</v>
      </c>
      <c r="E316" s="42" t="str">
        <f t="shared" si="128"/>
        <v/>
      </c>
      <c r="F316" s="7" t="str">
        <f t="shared" si="129"/>
        <v/>
      </c>
      <c r="G316" s="100" t="str">
        <f t="shared" si="130"/>
        <v/>
      </c>
      <c r="H316" s="100" t="str">
        <f t="shared" si="131"/>
        <v/>
      </c>
      <c r="I316" s="100" t="str">
        <f t="shared" si="132"/>
        <v/>
      </c>
      <c r="J316" s="100" t="str">
        <f t="shared" si="133"/>
        <v/>
      </c>
      <c r="K316" s="102" t="str">
        <f t="shared" si="134"/>
        <v/>
      </c>
      <c r="L316" s="103" t="str">
        <f t="shared" si="135"/>
        <v/>
      </c>
      <c r="M316" s="103" t="str">
        <f t="shared" si="136"/>
        <v/>
      </c>
      <c r="N316" s="103" t="str">
        <f t="shared" si="137"/>
        <v/>
      </c>
      <c r="O316" s="103" t="str">
        <f t="shared" si="138"/>
        <v/>
      </c>
      <c r="P316" s="105" t="str">
        <f t="shared" si="139"/>
        <v/>
      </c>
      <c r="Q316" s="105" t="str">
        <f t="shared" si="140"/>
        <v/>
      </c>
      <c r="R316" s="104" t="str">
        <f t="shared" si="141"/>
        <v/>
      </c>
      <c r="S316" s="104" t="str">
        <f t="shared" si="142"/>
        <v/>
      </c>
      <c r="T316" s="105" t="str">
        <f t="shared" si="143"/>
        <v/>
      </c>
      <c r="U316" s="14" t="str">
        <f t="shared" si="144"/>
        <v/>
      </c>
      <c r="V316" s="14" t="str">
        <f t="shared" si="145"/>
        <v/>
      </c>
      <c r="W316" s="103" t="str">
        <f t="shared" si="146"/>
        <v/>
      </c>
      <c r="X316" s="103" t="str">
        <f t="shared" si="147"/>
        <v/>
      </c>
      <c r="Y316" s="100" t="str">
        <f t="shared" si="148"/>
        <v/>
      </c>
      <c r="Z316" s="100" t="str">
        <f t="shared" si="149"/>
        <v/>
      </c>
      <c r="AA316" s="100" t="e">
        <f t="shared" si="150"/>
        <v>#VALUE!</v>
      </c>
      <c r="AB316" s="100" t="e">
        <f t="shared" si="151"/>
        <v>#VALUE!</v>
      </c>
      <c r="AC316" s="100" t="e">
        <f t="shared" si="152"/>
        <v>#VALUE!</v>
      </c>
      <c r="AD316" s="100" t="e">
        <f t="shared" si="153"/>
        <v>#VALUE!</v>
      </c>
      <c r="AE316" s="8" t="str">
        <f t="shared" si="126"/>
        <v/>
      </c>
      <c r="AF316" s="8" t="str">
        <f t="shared" si="127"/>
        <v/>
      </c>
      <c r="AG316" s="7" t="str">
        <f t="shared" si="154"/>
        <v>Good</v>
      </c>
      <c r="AI316" s="100">
        <f t="shared" si="155"/>
        <v>29.012542206999999</v>
      </c>
      <c r="AJ316" s="100">
        <f t="shared" si="156"/>
        <v>47.628436964000002</v>
      </c>
    </row>
    <row r="317" spans="1:36" x14ac:dyDescent="0.2">
      <c r="A317" s="8">
        <v>34.5</v>
      </c>
      <c r="B317" s="100">
        <v>29.012527009999999</v>
      </c>
      <c r="C317" s="100">
        <v>47.628434341000002</v>
      </c>
      <c r="D317" s="101">
        <v>34500.00238178204</v>
      </c>
      <c r="E317" s="42" t="str">
        <f t="shared" si="128"/>
        <v/>
      </c>
      <c r="F317" s="7" t="str">
        <f t="shared" si="129"/>
        <v/>
      </c>
      <c r="G317" s="100" t="str">
        <f t="shared" si="130"/>
        <v/>
      </c>
      <c r="H317" s="100" t="str">
        <f t="shared" si="131"/>
        <v/>
      </c>
      <c r="I317" s="100" t="str">
        <f t="shared" si="132"/>
        <v/>
      </c>
      <c r="J317" s="100" t="str">
        <f t="shared" si="133"/>
        <v/>
      </c>
      <c r="K317" s="102" t="str">
        <f t="shared" si="134"/>
        <v/>
      </c>
      <c r="L317" s="103" t="str">
        <f t="shared" si="135"/>
        <v/>
      </c>
      <c r="M317" s="103" t="str">
        <f t="shared" si="136"/>
        <v/>
      </c>
      <c r="N317" s="103" t="str">
        <f t="shared" si="137"/>
        <v/>
      </c>
      <c r="O317" s="103" t="str">
        <f t="shared" si="138"/>
        <v/>
      </c>
      <c r="P317" s="105" t="str">
        <f t="shared" si="139"/>
        <v/>
      </c>
      <c r="Q317" s="105" t="str">
        <f t="shared" si="140"/>
        <v/>
      </c>
      <c r="R317" s="104" t="str">
        <f t="shared" si="141"/>
        <v/>
      </c>
      <c r="S317" s="104" t="str">
        <f t="shared" si="142"/>
        <v/>
      </c>
      <c r="T317" s="105" t="str">
        <f t="shared" si="143"/>
        <v/>
      </c>
      <c r="U317" s="14" t="str">
        <f t="shared" si="144"/>
        <v/>
      </c>
      <c r="V317" s="14" t="str">
        <f t="shared" si="145"/>
        <v/>
      </c>
      <c r="W317" s="103" t="str">
        <f t="shared" si="146"/>
        <v/>
      </c>
      <c r="X317" s="103" t="str">
        <f t="shared" si="147"/>
        <v/>
      </c>
      <c r="Y317" s="100" t="str">
        <f t="shared" si="148"/>
        <v/>
      </c>
      <c r="Z317" s="100" t="str">
        <f t="shared" si="149"/>
        <v/>
      </c>
      <c r="AA317" s="100" t="e">
        <f t="shared" si="150"/>
        <v>#VALUE!</v>
      </c>
      <c r="AB317" s="100" t="e">
        <f t="shared" si="151"/>
        <v>#VALUE!</v>
      </c>
      <c r="AC317" s="100" t="e">
        <f t="shared" si="152"/>
        <v>#VALUE!</v>
      </c>
      <c r="AD317" s="100" t="e">
        <f t="shared" si="153"/>
        <v>#VALUE!</v>
      </c>
      <c r="AE317" s="8" t="str">
        <f t="shared" si="126"/>
        <v/>
      </c>
      <c r="AF317" s="8" t="str">
        <f t="shared" si="127"/>
        <v/>
      </c>
      <c r="AG317" s="7" t="str">
        <f t="shared" si="154"/>
        <v>Good</v>
      </c>
      <c r="AI317" s="100">
        <f t="shared" si="155"/>
        <v>29.012527009999999</v>
      </c>
      <c r="AJ317" s="100">
        <f t="shared" si="156"/>
        <v>47.628434341000002</v>
      </c>
    </row>
    <row r="318" spans="1:36" x14ac:dyDescent="0.2">
      <c r="A318" s="8">
        <v>34.837000000000003</v>
      </c>
      <c r="D318" s="101">
        <v>34837</v>
      </c>
      <c r="E318" s="42">
        <f t="shared" si="128"/>
        <v>336.99761821795983</v>
      </c>
      <c r="F318" s="7">
        <f t="shared" si="129"/>
        <v>1</v>
      </c>
      <c r="G318" s="100">
        <f t="shared" si="130"/>
        <v>29.012527009999999</v>
      </c>
      <c r="H318" s="100">
        <f t="shared" si="131"/>
        <v>47.628434341000002</v>
      </c>
      <c r="I318" s="100">
        <f t="shared" si="132"/>
        <v>29.013398940999998</v>
      </c>
      <c r="J318" s="100">
        <f t="shared" si="133"/>
        <v>47.625105908000002</v>
      </c>
      <c r="K318" s="102">
        <f t="shared" si="134"/>
        <v>38</v>
      </c>
      <c r="L318" s="103">
        <f t="shared" si="135"/>
        <v>3212222.9892182695</v>
      </c>
      <c r="M318" s="103">
        <f t="shared" si="136"/>
        <v>756026.35091004556</v>
      </c>
      <c r="N318" s="103">
        <f t="shared" si="137"/>
        <v>3212312.429254482</v>
      </c>
      <c r="O318" s="103">
        <f t="shared" si="138"/>
        <v>755699.86975902074</v>
      </c>
      <c r="P318" s="105">
        <f t="shared" si="139"/>
        <v>89.440036212559789</v>
      </c>
      <c r="Q318" s="105">
        <f t="shared" si="140"/>
        <v>-326.48115102481097</v>
      </c>
      <c r="R318" s="104">
        <f t="shared" si="141"/>
        <v>338.51065278981906</v>
      </c>
      <c r="S318" s="104" t="str">
        <f t="shared" si="142"/>
        <v>NW</v>
      </c>
      <c r="T318" s="105">
        <f t="shared" si="143"/>
        <v>0.26739126793366336</v>
      </c>
      <c r="U318" s="14">
        <f t="shared" si="144"/>
        <v>-325.02188448625498</v>
      </c>
      <c r="V318" s="14">
        <f t="shared" si="145"/>
        <v>89.04026779823468</v>
      </c>
      <c r="W318" s="103">
        <f t="shared" si="146"/>
        <v>3212312.0294860676</v>
      </c>
      <c r="X318" s="103">
        <f t="shared" si="147"/>
        <v>755701.32902555924</v>
      </c>
      <c r="Y318" s="100">
        <f t="shared" si="148"/>
        <v>29.013395015834401</v>
      </c>
      <c r="Z318" s="100">
        <f t="shared" si="149"/>
        <v>47.625120785520487</v>
      </c>
      <c r="AA318" s="100">
        <f t="shared" si="150"/>
        <v>-8.6800583440194146E-4</v>
      </c>
      <c r="AB318" s="100">
        <f t="shared" si="151"/>
        <v>-3.925165596996294E-6</v>
      </c>
      <c r="AC318" s="100">
        <f t="shared" si="152"/>
        <v>3.3135554795151734E-3</v>
      </c>
      <c r="AD318" s="100">
        <f t="shared" si="153"/>
        <v>1.4877520484901652E-5</v>
      </c>
      <c r="AE318" s="8" t="str">
        <f t="shared" si="126"/>
        <v>Good</v>
      </c>
      <c r="AF318" s="8" t="str">
        <f t="shared" si="127"/>
        <v>Good</v>
      </c>
      <c r="AG318" s="7" t="str">
        <f t="shared" si="154"/>
        <v>Good</v>
      </c>
      <c r="AI318" s="100">
        <f t="shared" si="155"/>
        <v>29.013395015834401</v>
      </c>
      <c r="AJ318" s="100">
        <f t="shared" si="156"/>
        <v>47.625120785520487</v>
      </c>
    </row>
    <row r="319" spans="1:36" x14ac:dyDescent="0.2">
      <c r="A319" s="8">
        <v>34.838000000000001</v>
      </c>
      <c r="B319" s="100">
        <v>29.013398940999998</v>
      </c>
      <c r="C319" s="100">
        <v>47.625105908000002</v>
      </c>
      <c r="D319" s="101">
        <v>34837.643987784002</v>
      </c>
      <c r="E319" s="42" t="str">
        <f t="shared" si="128"/>
        <v/>
      </c>
      <c r="F319" s="7" t="str">
        <f t="shared" si="129"/>
        <v/>
      </c>
      <c r="G319" s="100" t="str">
        <f t="shared" si="130"/>
        <v/>
      </c>
      <c r="H319" s="100" t="str">
        <f t="shared" si="131"/>
        <v/>
      </c>
      <c r="I319" s="100" t="str">
        <f t="shared" si="132"/>
        <v/>
      </c>
      <c r="J319" s="100" t="str">
        <f t="shared" si="133"/>
        <v/>
      </c>
      <c r="K319" s="102" t="str">
        <f t="shared" si="134"/>
        <v/>
      </c>
      <c r="L319" s="103" t="str">
        <f t="shared" si="135"/>
        <v/>
      </c>
      <c r="M319" s="103" t="str">
        <f t="shared" si="136"/>
        <v/>
      </c>
      <c r="N319" s="103" t="str">
        <f t="shared" si="137"/>
        <v/>
      </c>
      <c r="O319" s="103" t="str">
        <f t="shared" si="138"/>
        <v/>
      </c>
      <c r="P319" s="105" t="str">
        <f t="shared" si="139"/>
        <v/>
      </c>
      <c r="Q319" s="105" t="str">
        <f t="shared" si="140"/>
        <v/>
      </c>
      <c r="R319" s="104" t="str">
        <f t="shared" si="141"/>
        <v/>
      </c>
      <c r="S319" s="104" t="str">
        <f t="shared" si="142"/>
        <v/>
      </c>
      <c r="T319" s="105" t="str">
        <f t="shared" si="143"/>
        <v/>
      </c>
      <c r="U319" s="14" t="str">
        <f t="shared" si="144"/>
        <v/>
      </c>
      <c r="V319" s="14" t="str">
        <f t="shared" si="145"/>
        <v/>
      </c>
      <c r="W319" s="103" t="str">
        <f t="shared" si="146"/>
        <v/>
      </c>
      <c r="X319" s="103" t="str">
        <f t="shared" si="147"/>
        <v/>
      </c>
      <c r="Y319" s="100" t="str">
        <f t="shared" si="148"/>
        <v/>
      </c>
      <c r="Z319" s="100" t="str">
        <f t="shared" si="149"/>
        <v/>
      </c>
      <c r="AA319" s="100" t="e">
        <f t="shared" si="150"/>
        <v>#VALUE!</v>
      </c>
      <c r="AB319" s="100" t="e">
        <f t="shared" si="151"/>
        <v>#VALUE!</v>
      </c>
      <c r="AC319" s="100" t="e">
        <f t="shared" si="152"/>
        <v>#VALUE!</v>
      </c>
      <c r="AD319" s="100" t="e">
        <f t="shared" si="153"/>
        <v>#VALUE!</v>
      </c>
      <c r="AE319" s="8" t="str">
        <f t="shared" si="126"/>
        <v/>
      </c>
      <c r="AF319" s="8" t="str">
        <f t="shared" si="127"/>
        <v/>
      </c>
      <c r="AG319" s="7" t="str">
        <f t="shared" si="154"/>
        <v>Good</v>
      </c>
      <c r="AI319" s="100">
        <f t="shared" si="155"/>
        <v>29.013398940999998</v>
      </c>
      <c r="AJ319" s="100">
        <f t="shared" si="156"/>
        <v>47.625105908000002</v>
      </c>
    </row>
    <row r="320" spans="1:36" x14ac:dyDescent="0.2">
      <c r="A320" s="8">
        <v>34.863999999999997</v>
      </c>
      <c r="B320" s="100">
        <v>29.013466542</v>
      </c>
      <c r="C320" s="100">
        <v>47.624849210999997</v>
      </c>
      <c r="D320" s="101">
        <v>34863.695045917259</v>
      </c>
      <c r="E320" s="42" t="str">
        <f t="shared" si="128"/>
        <v/>
      </c>
      <c r="F320" s="7" t="str">
        <f t="shared" si="129"/>
        <v/>
      </c>
      <c r="G320" s="100" t="str">
        <f t="shared" si="130"/>
        <v/>
      </c>
      <c r="H320" s="100" t="str">
        <f t="shared" si="131"/>
        <v/>
      </c>
      <c r="I320" s="100" t="str">
        <f t="shared" si="132"/>
        <v/>
      </c>
      <c r="J320" s="100" t="str">
        <f t="shared" si="133"/>
        <v/>
      </c>
      <c r="K320" s="102" t="str">
        <f t="shared" si="134"/>
        <v/>
      </c>
      <c r="L320" s="103" t="str">
        <f t="shared" si="135"/>
        <v/>
      </c>
      <c r="M320" s="103" t="str">
        <f t="shared" si="136"/>
        <v/>
      </c>
      <c r="N320" s="103" t="str">
        <f t="shared" si="137"/>
        <v/>
      </c>
      <c r="O320" s="103" t="str">
        <f t="shared" si="138"/>
        <v/>
      </c>
      <c r="P320" s="105" t="str">
        <f t="shared" si="139"/>
        <v/>
      </c>
      <c r="Q320" s="105" t="str">
        <f t="shared" si="140"/>
        <v/>
      </c>
      <c r="R320" s="104" t="str">
        <f t="shared" si="141"/>
        <v/>
      </c>
      <c r="S320" s="104" t="str">
        <f t="shared" si="142"/>
        <v/>
      </c>
      <c r="T320" s="105" t="str">
        <f t="shared" si="143"/>
        <v/>
      </c>
      <c r="U320" s="14" t="str">
        <f t="shared" si="144"/>
        <v/>
      </c>
      <c r="V320" s="14" t="str">
        <f t="shared" si="145"/>
        <v/>
      </c>
      <c r="W320" s="103" t="str">
        <f t="shared" si="146"/>
        <v/>
      </c>
      <c r="X320" s="103" t="str">
        <f t="shared" si="147"/>
        <v/>
      </c>
      <c r="Y320" s="100" t="str">
        <f t="shared" si="148"/>
        <v/>
      </c>
      <c r="Z320" s="100" t="str">
        <f t="shared" si="149"/>
        <v/>
      </c>
      <c r="AA320" s="100" t="e">
        <f t="shared" si="150"/>
        <v>#VALUE!</v>
      </c>
      <c r="AB320" s="100" t="e">
        <f t="shared" si="151"/>
        <v>#VALUE!</v>
      </c>
      <c r="AC320" s="100" t="e">
        <f t="shared" si="152"/>
        <v>#VALUE!</v>
      </c>
      <c r="AD320" s="100" t="e">
        <f t="shared" si="153"/>
        <v>#VALUE!</v>
      </c>
      <c r="AE320" s="8" t="str">
        <f t="shared" si="126"/>
        <v/>
      </c>
      <c r="AF320" s="8" t="str">
        <f t="shared" si="127"/>
        <v/>
      </c>
      <c r="AG320" s="7" t="str">
        <f t="shared" si="154"/>
        <v>Good</v>
      </c>
      <c r="AI320" s="100">
        <f t="shared" si="155"/>
        <v>29.013466542</v>
      </c>
      <c r="AJ320" s="100">
        <f t="shared" si="156"/>
        <v>47.624849210999997</v>
      </c>
    </row>
    <row r="321" spans="1:36" x14ac:dyDescent="0.2">
      <c r="A321" s="8">
        <v>35.277000000000001</v>
      </c>
      <c r="B321" s="100">
        <v>29.014504318</v>
      </c>
      <c r="C321" s="100">
        <v>47.620759624999998</v>
      </c>
      <c r="D321" s="101">
        <v>35277.491082362278</v>
      </c>
      <c r="E321" s="42" t="str">
        <f t="shared" si="128"/>
        <v/>
      </c>
      <c r="F321" s="7" t="str">
        <f t="shared" si="129"/>
        <v/>
      </c>
      <c r="G321" s="100" t="str">
        <f t="shared" si="130"/>
        <v/>
      </c>
      <c r="H321" s="100" t="str">
        <f t="shared" si="131"/>
        <v/>
      </c>
      <c r="I321" s="100" t="str">
        <f t="shared" si="132"/>
        <v/>
      </c>
      <c r="J321" s="100" t="str">
        <f t="shared" si="133"/>
        <v/>
      </c>
      <c r="K321" s="102" t="str">
        <f t="shared" si="134"/>
        <v/>
      </c>
      <c r="L321" s="103" t="str">
        <f t="shared" si="135"/>
        <v/>
      </c>
      <c r="M321" s="103" t="str">
        <f t="shared" si="136"/>
        <v/>
      </c>
      <c r="N321" s="103" t="str">
        <f t="shared" si="137"/>
        <v/>
      </c>
      <c r="O321" s="103" t="str">
        <f t="shared" si="138"/>
        <v/>
      </c>
      <c r="P321" s="105" t="str">
        <f t="shared" si="139"/>
        <v/>
      </c>
      <c r="Q321" s="105" t="str">
        <f t="shared" si="140"/>
        <v/>
      </c>
      <c r="R321" s="104" t="str">
        <f t="shared" si="141"/>
        <v/>
      </c>
      <c r="S321" s="104" t="str">
        <f t="shared" si="142"/>
        <v/>
      </c>
      <c r="T321" s="105" t="str">
        <f t="shared" si="143"/>
        <v/>
      </c>
      <c r="U321" s="14" t="str">
        <f t="shared" si="144"/>
        <v/>
      </c>
      <c r="V321" s="14" t="str">
        <f t="shared" si="145"/>
        <v/>
      </c>
      <c r="W321" s="103" t="str">
        <f t="shared" si="146"/>
        <v/>
      </c>
      <c r="X321" s="103" t="str">
        <f t="shared" si="147"/>
        <v/>
      </c>
      <c r="Y321" s="100" t="str">
        <f t="shared" si="148"/>
        <v/>
      </c>
      <c r="Z321" s="100" t="str">
        <f t="shared" si="149"/>
        <v/>
      </c>
      <c r="AA321" s="100" t="e">
        <f t="shared" si="150"/>
        <v>#VALUE!</v>
      </c>
      <c r="AB321" s="100" t="e">
        <f t="shared" si="151"/>
        <v>#VALUE!</v>
      </c>
      <c r="AC321" s="100" t="e">
        <f t="shared" si="152"/>
        <v>#VALUE!</v>
      </c>
      <c r="AD321" s="100" t="e">
        <f t="shared" si="153"/>
        <v>#VALUE!</v>
      </c>
      <c r="AE321" s="8" t="str">
        <f t="shared" si="126"/>
        <v/>
      </c>
      <c r="AF321" s="8" t="str">
        <f t="shared" si="127"/>
        <v/>
      </c>
      <c r="AG321" s="7" t="str">
        <f t="shared" si="154"/>
        <v>Good</v>
      </c>
      <c r="AI321" s="100">
        <f t="shared" si="155"/>
        <v>29.014504318</v>
      </c>
      <c r="AJ321" s="100">
        <f t="shared" si="156"/>
        <v>47.620759624999998</v>
      </c>
    </row>
    <row r="322" spans="1:36" x14ac:dyDescent="0.2">
      <c r="A322" s="8">
        <v>35.304000000000002</v>
      </c>
      <c r="B322" s="100">
        <v>29.014582915999998</v>
      </c>
      <c r="C322" s="100">
        <v>47.620501576000002</v>
      </c>
      <c r="D322" s="101">
        <v>35304.044315167121</v>
      </c>
      <c r="E322" s="42" t="str">
        <f t="shared" si="128"/>
        <v/>
      </c>
      <c r="F322" s="7" t="str">
        <f t="shared" si="129"/>
        <v/>
      </c>
      <c r="G322" s="100" t="str">
        <f t="shared" si="130"/>
        <v/>
      </c>
      <c r="H322" s="100" t="str">
        <f t="shared" si="131"/>
        <v/>
      </c>
      <c r="I322" s="100" t="str">
        <f t="shared" si="132"/>
        <v/>
      </c>
      <c r="J322" s="100" t="str">
        <f t="shared" si="133"/>
        <v/>
      </c>
      <c r="K322" s="102" t="str">
        <f t="shared" si="134"/>
        <v/>
      </c>
      <c r="L322" s="103" t="str">
        <f t="shared" si="135"/>
        <v/>
      </c>
      <c r="M322" s="103" t="str">
        <f t="shared" si="136"/>
        <v/>
      </c>
      <c r="N322" s="103" t="str">
        <f t="shared" si="137"/>
        <v/>
      </c>
      <c r="O322" s="103" t="str">
        <f t="shared" si="138"/>
        <v/>
      </c>
      <c r="P322" s="105" t="str">
        <f t="shared" si="139"/>
        <v/>
      </c>
      <c r="Q322" s="105" t="str">
        <f t="shared" si="140"/>
        <v/>
      </c>
      <c r="R322" s="104" t="str">
        <f t="shared" si="141"/>
        <v/>
      </c>
      <c r="S322" s="104" t="str">
        <f t="shared" si="142"/>
        <v/>
      </c>
      <c r="T322" s="105" t="str">
        <f t="shared" si="143"/>
        <v/>
      </c>
      <c r="U322" s="14" t="str">
        <f t="shared" si="144"/>
        <v/>
      </c>
      <c r="V322" s="14" t="str">
        <f t="shared" si="145"/>
        <v/>
      </c>
      <c r="W322" s="103" t="str">
        <f t="shared" si="146"/>
        <v/>
      </c>
      <c r="X322" s="103" t="str">
        <f t="shared" si="147"/>
        <v/>
      </c>
      <c r="Y322" s="100" t="str">
        <f t="shared" si="148"/>
        <v/>
      </c>
      <c r="Z322" s="100" t="str">
        <f t="shared" si="149"/>
        <v/>
      </c>
      <c r="AA322" s="100" t="e">
        <f t="shared" si="150"/>
        <v>#VALUE!</v>
      </c>
      <c r="AB322" s="100" t="e">
        <f t="shared" si="151"/>
        <v>#VALUE!</v>
      </c>
      <c r="AC322" s="100" t="e">
        <f t="shared" si="152"/>
        <v>#VALUE!</v>
      </c>
      <c r="AD322" s="100" t="e">
        <f t="shared" si="153"/>
        <v>#VALUE!</v>
      </c>
      <c r="AE322" s="8" t="str">
        <f t="shared" si="126"/>
        <v/>
      </c>
      <c r="AF322" s="8" t="str">
        <f t="shared" si="127"/>
        <v/>
      </c>
      <c r="AG322" s="7" t="str">
        <f t="shared" si="154"/>
        <v>Good</v>
      </c>
      <c r="AI322" s="100">
        <f t="shared" si="155"/>
        <v>29.014582915999998</v>
      </c>
      <c r="AJ322" s="100">
        <f t="shared" si="156"/>
        <v>47.620501576000002</v>
      </c>
    </row>
    <row r="323" spans="1:36" x14ac:dyDescent="0.2">
      <c r="A323" s="8">
        <v>35.305999999999997</v>
      </c>
      <c r="B323" s="100">
        <v>29.014567843999998</v>
      </c>
      <c r="C323" s="100">
        <v>47.620496058999997</v>
      </c>
      <c r="D323" s="101">
        <v>35305.801352523675</v>
      </c>
      <c r="E323" s="42" t="str">
        <f t="shared" si="128"/>
        <v/>
      </c>
      <c r="F323" s="7" t="str">
        <f t="shared" si="129"/>
        <v/>
      </c>
      <c r="G323" s="100" t="str">
        <f t="shared" si="130"/>
        <v/>
      </c>
      <c r="H323" s="100" t="str">
        <f t="shared" si="131"/>
        <v/>
      </c>
      <c r="I323" s="100" t="str">
        <f t="shared" si="132"/>
        <v/>
      </c>
      <c r="J323" s="100" t="str">
        <f t="shared" si="133"/>
        <v/>
      </c>
      <c r="K323" s="102" t="str">
        <f t="shared" si="134"/>
        <v/>
      </c>
      <c r="L323" s="103" t="str">
        <f t="shared" si="135"/>
        <v/>
      </c>
      <c r="M323" s="103" t="str">
        <f t="shared" si="136"/>
        <v/>
      </c>
      <c r="N323" s="103" t="str">
        <f t="shared" si="137"/>
        <v/>
      </c>
      <c r="O323" s="103" t="str">
        <f t="shared" si="138"/>
        <v/>
      </c>
      <c r="P323" s="105" t="str">
        <f t="shared" si="139"/>
        <v/>
      </c>
      <c r="Q323" s="105" t="str">
        <f t="shared" si="140"/>
        <v/>
      </c>
      <c r="R323" s="104" t="str">
        <f t="shared" si="141"/>
        <v/>
      </c>
      <c r="S323" s="104" t="str">
        <f t="shared" si="142"/>
        <v/>
      </c>
      <c r="T323" s="105" t="str">
        <f t="shared" si="143"/>
        <v/>
      </c>
      <c r="U323" s="14" t="str">
        <f t="shared" si="144"/>
        <v/>
      </c>
      <c r="V323" s="14" t="str">
        <f t="shared" si="145"/>
        <v/>
      </c>
      <c r="W323" s="103" t="str">
        <f t="shared" si="146"/>
        <v/>
      </c>
      <c r="X323" s="103" t="str">
        <f t="shared" si="147"/>
        <v/>
      </c>
      <c r="Y323" s="100" t="str">
        <f t="shared" si="148"/>
        <v/>
      </c>
      <c r="Z323" s="100" t="str">
        <f t="shared" si="149"/>
        <v/>
      </c>
      <c r="AA323" s="100" t="e">
        <f t="shared" si="150"/>
        <v>#VALUE!</v>
      </c>
      <c r="AB323" s="100" t="e">
        <f t="shared" si="151"/>
        <v>#VALUE!</v>
      </c>
      <c r="AC323" s="100" t="e">
        <f t="shared" si="152"/>
        <v>#VALUE!</v>
      </c>
      <c r="AD323" s="100" t="e">
        <f t="shared" si="153"/>
        <v>#VALUE!</v>
      </c>
      <c r="AE323" s="8" t="str">
        <f t="shared" si="126"/>
        <v/>
      </c>
      <c r="AF323" s="8" t="str">
        <f t="shared" si="127"/>
        <v/>
      </c>
      <c r="AG323" s="7" t="str">
        <f t="shared" si="154"/>
        <v>Good</v>
      </c>
      <c r="AI323" s="100">
        <f t="shared" si="155"/>
        <v>29.014567843999998</v>
      </c>
      <c r="AJ323" s="100">
        <f t="shared" si="156"/>
        <v>47.620496058999997</v>
      </c>
    </row>
    <row r="324" spans="1:36" x14ac:dyDescent="0.2">
      <c r="A324" s="8">
        <v>35.591999999999999</v>
      </c>
      <c r="B324" s="100">
        <v>29.015298759</v>
      </c>
      <c r="C324" s="100">
        <v>47.617670003999997</v>
      </c>
      <c r="D324" s="101">
        <v>35592.177573641318</v>
      </c>
      <c r="E324" s="42" t="str">
        <f t="shared" si="128"/>
        <v/>
      </c>
      <c r="F324" s="7" t="str">
        <f t="shared" si="129"/>
        <v/>
      </c>
      <c r="G324" s="100" t="str">
        <f t="shared" si="130"/>
        <v/>
      </c>
      <c r="H324" s="100" t="str">
        <f t="shared" si="131"/>
        <v/>
      </c>
      <c r="I324" s="100" t="str">
        <f t="shared" si="132"/>
        <v/>
      </c>
      <c r="J324" s="100" t="str">
        <f t="shared" si="133"/>
        <v/>
      </c>
      <c r="K324" s="102" t="str">
        <f t="shared" si="134"/>
        <v/>
      </c>
      <c r="L324" s="103" t="str">
        <f t="shared" si="135"/>
        <v/>
      </c>
      <c r="M324" s="103" t="str">
        <f t="shared" si="136"/>
        <v/>
      </c>
      <c r="N324" s="103" t="str">
        <f t="shared" si="137"/>
        <v/>
      </c>
      <c r="O324" s="103" t="str">
        <f t="shared" si="138"/>
        <v/>
      </c>
      <c r="P324" s="105" t="str">
        <f t="shared" si="139"/>
        <v/>
      </c>
      <c r="Q324" s="105" t="str">
        <f t="shared" si="140"/>
        <v/>
      </c>
      <c r="R324" s="104" t="str">
        <f t="shared" si="141"/>
        <v/>
      </c>
      <c r="S324" s="104" t="str">
        <f t="shared" si="142"/>
        <v/>
      </c>
      <c r="T324" s="105" t="str">
        <f t="shared" si="143"/>
        <v/>
      </c>
      <c r="U324" s="14" t="str">
        <f t="shared" si="144"/>
        <v/>
      </c>
      <c r="V324" s="14" t="str">
        <f t="shared" si="145"/>
        <v/>
      </c>
      <c r="W324" s="103" t="str">
        <f t="shared" si="146"/>
        <v/>
      </c>
      <c r="X324" s="103" t="str">
        <f t="shared" si="147"/>
        <v/>
      </c>
      <c r="Y324" s="100" t="str">
        <f t="shared" si="148"/>
        <v/>
      </c>
      <c r="Z324" s="100" t="str">
        <f t="shared" si="149"/>
        <v/>
      </c>
      <c r="AA324" s="100" t="e">
        <f t="shared" si="150"/>
        <v>#VALUE!</v>
      </c>
      <c r="AB324" s="100" t="e">
        <f t="shared" si="151"/>
        <v>#VALUE!</v>
      </c>
      <c r="AC324" s="100" t="e">
        <f t="shared" si="152"/>
        <v>#VALUE!</v>
      </c>
      <c r="AD324" s="100" t="e">
        <f t="shared" si="153"/>
        <v>#VALUE!</v>
      </c>
      <c r="AE324" s="8" t="str">
        <f t="shared" ref="AE324:AE387" si="157">IF(E324="","",IF(OR(AND(AA324&gt;0,AB324&gt;0),AND(AA324&lt;0,AB324&lt;0)),"Good",""))</f>
        <v/>
      </c>
      <c r="AF324" s="8" t="str">
        <f t="shared" ref="AF324:AF387" si="158">IF(E324="","",IF(OR(AND(AC324&gt;0,AD324&gt;0),AND(AC324&lt;0,AD324&lt;0)),"Good",""))</f>
        <v/>
      </c>
      <c r="AG324" s="7" t="str">
        <f t="shared" si="154"/>
        <v>Good</v>
      </c>
      <c r="AI324" s="100">
        <f t="shared" si="155"/>
        <v>29.015298759</v>
      </c>
      <c r="AJ324" s="100">
        <f t="shared" si="156"/>
        <v>47.617670003999997</v>
      </c>
    </row>
    <row r="325" spans="1:36" x14ac:dyDescent="0.2">
      <c r="A325" s="8">
        <v>35.805999999999997</v>
      </c>
      <c r="D325" s="101">
        <v>35806</v>
      </c>
      <c r="E325" s="42">
        <f t="shared" si="128"/>
        <v>213.8224263586817</v>
      </c>
      <c r="F325" s="7">
        <f t="shared" si="129"/>
        <v>1</v>
      </c>
      <c r="G325" s="100">
        <f t="shared" si="130"/>
        <v>29.015298759</v>
      </c>
      <c r="H325" s="100">
        <f t="shared" si="131"/>
        <v>47.617670003999997</v>
      </c>
      <c r="I325" s="100">
        <f t="shared" si="132"/>
        <v>29.015850050000001</v>
      </c>
      <c r="J325" s="100">
        <f t="shared" si="133"/>
        <v>47.615554349999996</v>
      </c>
      <c r="K325" s="102">
        <f t="shared" si="134"/>
        <v>38</v>
      </c>
      <c r="L325" s="103">
        <f t="shared" si="135"/>
        <v>3212506.9406900234</v>
      </c>
      <c r="M325" s="103">
        <f t="shared" si="136"/>
        <v>754970.63224280311</v>
      </c>
      <c r="N325" s="103">
        <f t="shared" si="137"/>
        <v>3212563.4834333998</v>
      </c>
      <c r="O325" s="103">
        <f t="shared" si="138"/>
        <v>754763.1293123815</v>
      </c>
      <c r="P325" s="105">
        <f t="shared" si="139"/>
        <v>56.542743376456201</v>
      </c>
      <c r="Q325" s="105">
        <f t="shared" si="140"/>
        <v>-207.50293042161502</v>
      </c>
      <c r="R325" s="104">
        <f t="shared" si="141"/>
        <v>215.06870521322571</v>
      </c>
      <c r="S325" s="104" t="str">
        <f t="shared" si="142"/>
        <v>NW</v>
      </c>
      <c r="T325" s="105">
        <f t="shared" si="143"/>
        <v>0.26603240034616576</v>
      </c>
      <c r="U325" s="14">
        <f t="shared" si="144"/>
        <v>-206.30049367386044</v>
      </c>
      <c r="V325" s="14">
        <f t="shared" si="145"/>
        <v>56.215089823243424</v>
      </c>
      <c r="W325" s="103">
        <f t="shared" si="146"/>
        <v>3212563.1557798465</v>
      </c>
      <c r="X325" s="103">
        <f t="shared" si="147"/>
        <v>754764.33174912923</v>
      </c>
      <c r="Y325" s="100">
        <f t="shared" si="148"/>
        <v>29.015846827244239</v>
      </c>
      <c r="Z325" s="100">
        <f t="shared" si="149"/>
        <v>47.615566610172735</v>
      </c>
      <c r="AA325" s="100">
        <f t="shared" si="150"/>
        <v>-5.4806824423891953E-4</v>
      </c>
      <c r="AB325" s="100">
        <f t="shared" si="151"/>
        <v>-3.2227557618114133E-6</v>
      </c>
      <c r="AC325" s="100">
        <f t="shared" si="152"/>
        <v>2.1033938272623232E-3</v>
      </c>
      <c r="AD325" s="100">
        <f t="shared" si="153"/>
        <v>1.2260172738365327E-5</v>
      </c>
      <c r="AE325" s="8" t="str">
        <f t="shared" si="157"/>
        <v>Good</v>
      </c>
      <c r="AF325" s="8" t="str">
        <f t="shared" si="158"/>
        <v>Good</v>
      </c>
      <c r="AG325" s="7" t="str">
        <f t="shared" si="154"/>
        <v>Good</v>
      </c>
      <c r="AI325" s="100">
        <f t="shared" si="155"/>
        <v>29.015846827244239</v>
      </c>
      <c r="AJ325" s="100">
        <f t="shared" si="156"/>
        <v>47.615566610172735</v>
      </c>
    </row>
    <row r="326" spans="1:36" x14ac:dyDescent="0.2">
      <c r="A326" s="8">
        <v>35.807000000000002</v>
      </c>
      <c r="B326" s="100">
        <v>29.015850050000001</v>
      </c>
      <c r="C326" s="100">
        <v>47.615554349999996</v>
      </c>
      <c r="D326" s="101">
        <v>35806.694599012881</v>
      </c>
      <c r="E326" s="42" t="str">
        <f t="shared" si="128"/>
        <v/>
      </c>
      <c r="F326" s="7" t="str">
        <f t="shared" si="129"/>
        <v/>
      </c>
      <c r="G326" s="100" t="str">
        <f t="shared" si="130"/>
        <v/>
      </c>
      <c r="H326" s="100" t="str">
        <f t="shared" si="131"/>
        <v/>
      </c>
      <c r="I326" s="100" t="str">
        <f t="shared" si="132"/>
        <v/>
      </c>
      <c r="J326" s="100" t="str">
        <f t="shared" si="133"/>
        <v/>
      </c>
      <c r="K326" s="102" t="str">
        <f t="shared" si="134"/>
        <v/>
      </c>
      <c r="L326" s="103" t="str">
        <f t="shared" si="135"/>
        <v/>
      </c>
      <c r="M326" s="103" t="str">
        <f t="shared" si="136"/>
        <v/>
      </c>
      <c r="N326" s="103" t="str">
        <f t="shared" si="137"/>
        <v/>
      </c>
      <c r="O326" s="103" t="str">
        <f t="shared" si="138"/>
        <v/>
      </c>
      <c r="P326" s="105" t="str">
        <f t="shared" si="139"/>
        <v/>
      </c>
      <c r="Q326" s="105" t="str">
        <f t="shared" si="140"/>
        <v/>
      </c>
      <c r="R326" s="104" t="str">
        <f t="shared" si="141"/>
        <v/>
      </c>
      <c r="S326" s="104" t="str">
        <f t="shared" si="142"/>
        <v/>
      </c>
      <c r="T326" s="105" t="str">
        <f t="shared" si="143"/>
        <v/>
      </c>
      <c r="U326" s="14" t="str">
        <f t="shared" si="144"/>
        <v/>
      </c>
      <c r="V326" s="14" t="str">
        <f t="shared" si="145"/>
        <v/>
      </c>
      <c r="W326" s="103" t="str">
        <f t="shared" si="146"/>
        <v/>
      </c>
      <c r="X326" s="103" t="str">
        <f t="shared" si="147"/>
        <v/>
      </c>
      <c r="Y326" s="100" t="str">
        <f t="shared" si="148"/>
        <v/>
      </c>
      <c r="Z326" s="100" t="str">
        <f t="shared" si="149"/>
        <v/>
      </c>
      <c r="AA326" s="100" t="e">
        <f t="shared" si="150"/>
        <v>#VALUE!</v>
      </c>
      <c r="AB326" s="100" t="e">
        <f t="shared" si="151"/>
        <v>#VALUE!</v>
      </c>
      <c r="AC326" s="100" t="e">
        <f t="shared" si="152"/>
        <v>#VALUE!</v>
      </c>
      <c r="AD326" s="100" t="e">
        <f t="shared" si="153"/>
        <v>#VALUE!</v>
      </c>
      <c r="AE326" s="8" t="str">
        <f t="shared" si="157"/>
        <v/>
      </c>
      <c r="AF326" s="8" t="str">
        <f t="shared" si="158"/>
        <v/>
      </c>
      <c r="AG326" s="7" t="str">
        <f t="shared" si="154"/>
        <v>Good</v>
      </c>
      <c r="AI326" s="100">
        <f t="shared" si="155"/>
        <v>29.015850050000001</v>
      </c>
      <c r="AJ326" s="100">
        <f t="shared" si="156"/>
        <v>47.615554349999996</v>
      </c>
    </row>
    <row r="327" spans="1:36" x14ac:dyDescent="0.2">
      <c r="A327" s="8">
        <v>35.817</v>
      </c>
      <c r="B327" s="100">
        <v>29.015881208</v>
      </c>
      <c r="C327" s="100">
        <v>47.615443591999998</v>
      </c>
      <c r="D327" s="101">
        <v>35818.000591419695</v>
      </c>
      <c r="E327" s="42" t="str">
        <f t="shared" si="128"/>
        <v/>
      </c>
      <c r="F327" s="7" t="str">
        <f t="shared" si="129"/>
        <v/>
      </c>
      <c r="G327" s="100" t="str">
        <f t="shared" si="130"/>
        <v/>
      </c>
      <c r="H327" s="100" t="str">
        <f t="shared" si="131"/>
        <v/>
      </c>
      <c r="I327" s="100" t="str">
        <f t="shared" si="132"/>
        <v/>
      </c>
      <c r="J327" s="100" t="str">
        <f t="shared" si="133"/>
        <v/>
      </c>
      <c r="K327" s="102" t="str">
        <f t="shared" si="134"/>
        <v/>
      </c>
      <c r="L327" s="103" t="str">
        <f t="shared" si="135"/>
        <v/>
      </c>
      <c r="M327" s="103" t="str">
        <f t="shared" si="136"/>
        <v/>
      </c>
      <c r="N327" s="103" t="str">
        <f t="shared" si="137"/>
        <v/>
      </c>
      <c r="O327" s="103" t="str">
        <f t="shared" si="138"/>
        <v/>
      </c>
      <c r="P327" s="105" t="str">
        <f t="shared" si="139"/>
        <v/>
      </c>
      <c r="Q327" s="105" t="str">
        <f t="shared" si="140"/>
        <v/>
      </c>
      <c r="R327" s="104" t="str">
        <f t="shared" si="141"/>
        <v/>
      </c>
      <c r="S327" s="104" t="str">
        <f t="shared" si="142"/>
        <v/>
      </c>
      <c r="T327" s="105" t="str">
        <f t="shared" si="143"/>
        <v/>
      </c>
      <c r="U327" s="14" t="str">
        <f t="shared" si="144"/>
        <v/>
      </c>
      <c r="V327" s="14" t="str">
        <f t="shared" si="145"/>
        <v/>
      </c>
      <c r="W327" s="103" t="str">
        <f t="shared" si="146"/>
        <v/>
      </c>
      <c r="X327" s="103" t="str">
        <f t="shared" si="147"/>
        <v/>
      </c>
      <c r="Y327" s="100" t="str">
        <f t="shared" si="148"/>
        <v/>
      </c>
      <c r="Z327" s="100" t="str">
        <f t="shared" si="149"/>
        <v/>
      </c>
      <c r="AA327" s="100" t="e">
        <f t="shared" si="150"/>
        <v>#VALUE!</v>
      </c>
      <c r="AB327" s="100" t="e">
        <f t="shared" si="151"/>
        <v>#VALUE!</v>
      </c>
      <c r="AC327" s="100" t="e">
        <f t="shared" si="152"/>
        <v>#VALUE!</v>
      </c>
      <c r="AD327" s="100" t="e">
        <f t="shared" si="153"/>
        <v>#VALUE!</v>
      </c>
      <c r="AE327" s="8" t="str">
        <f t="shared" si="157"/>
        <v/>
      </c>
      <c r="AF327" s="8" t="str">
        <f t="shared" si="158"/>
        <v/>
      </c>
      <c r="AG327" s="7" t="str">
        <f t="shared" si="154"/>
        <v>Good</v>
      </c>
      <c r="AI327" s="100">
        <f t="shared" si="155"/>
        <v>29.015881208</v>
      </c>
      <c r="AJ327" s="100">
        <f t="shared" si="156"/>
        <v>47.615443591999998</v>
      </c>
    </row>
    <row r="328" spans="1:36" x14ac:dyDescent="0.2">
      <c r="A328" s="8">
        <v>35.817999999999998</v>
      </c>
      <c r="B328" s="100">
        <v>29.015880967000001</v>
      </c>
      <c r="C328" s="100">
        <v>47.615443132000003</v>
      </c>
      <c r="D328" s="101">
        <v>35818.000591419695</v>
      </c>
      <c r="E328" s="42" t="str">
        <f t="shared" ref="E328:E391" si="159">IF(F328=1,D328-D327,"")</f>
        <v/>
      </c>
      <c r="F328" s="7" t="str">
        <f t="shared" ref="F328:F391" si="160">IF(C328="",1,"")</f>
        <v/>
      </c>
      <c r="G328" s="100" t="str">
        <f t="shared" ref="G328:G391" si="161">IF(F328=1,IF(B327="",G327,B327),"")</f>
        <v/>
      </c>
      <c r="H328" s="100" t="str">
        <f t="shared" ref="H328:H391" si="162">IF(F328=1,IF(C327="",H327,C327),"")</f>
        <v/>
      </c>
      <c r="I328" s="100" t="str">
        <f t="shared" ref="I328:I391" si="163">IF(F328=1,IF(B329="",I329,B329),"")</f>
        <v/>
      </c>
      <c r="J328" s="100" t="str">
        <f t="shared" ref="J328:J391" si="164">IF(F328=1,IF(C329="",J329,C329),"")</f>
        <v/>
      </c>
      <c r="K328" s="102" t="str">
        <f t="shared" ref="K328:K391" si="165">IF(F328=1,utmzone_long(J328),"")</f>
        <v/>
      </c>
      <c r="L328" s="103" t="str">
        <f t="shared" ref="L328:L391" si="166">IF(F328=1,northing(G328,H328),"")</f>
        <v/>
      </c>
      <c r="M328" s="103" t="str">
        <f t="shared" ref="M328:M391" si="167">IF(F328=1,easting(G328,H328),"")</f>
        <v/>
      </c>
      <c r="N328" s="103" t="str">
        <f t="shared" ref="N328:N391" si="168">IF(F328=1,northing(I328,J328),"")</f>
        <v/>
      </c>
      <c r="O328" s="103" t="str">
        <f t="shared" ref="O328:O391" si="169">IF(F328=1,easting(I328,J328),"")</f>
        <v/>
      </c>
      <c r="P328" s="105" t="str">
        <f t="shared" ref="P328:P391" si="170">IF(F328=1,N328-L328,"")</f>
        <v/>
      </c>
      <c r="Q328" s="105" t="str">
        <f t="shared" ref="Q328:Q391" si="171">IF(F328=1,O328-M328,"")</f>
        <v/>
      </c>
      <c r="R328" s="104" t="str">
        <f t="shared" ref="R328:R391" si="172">IF(F328=1,SQRT(ABS(L328-N328)^2+ABS(M328-O328)^2),"")</f>
        <v/>
      </c>
      <c r="S328" s="104" t="str">
        <f t="shared" ref="S328:S391" si="173">IF(F328=1,IF(N328&lt;L328,"S","N") &amp; IF(O328&lt;M328,"W","E"),"")</f>
        <v/>
      </c>
      <c r="T328" s="105" t="str">
        <f t="shared" ref="T328:T391" si="174">IF(F328=1,ABS(ATAN((P328)/Q328)),"")</f>
        <v/>
      </c>
      <c r="U328" s="14" t="str">
        <f t="shared" ref="U328:U391" si="175">IF(F328=1,IF(Q328&lt;0,-1*COS(T328)*E328,COS(T328)*E328),"")</f>
        <v/>
      </c>
      <c r="V328" s="14" t="str">
        <f t="shared" ref="V328:V391" si="176">IF(F328=1,IF(P328&lt;0,-1*SIN(T328)*E328,SIN(T328)*E328),"")</f>
        <v/>
      </c>
      <c r="W328" s="103" t="str">
        <f t="shared" ref="W328:W391" si="177">IF(F328=1,V328+L328,"")</f>
        <v/>
      </c>
      <c r="X328" s="103" t="str">
        <f t="shared" ref="X328:X391" si="178">IF(F328=1,U328+M328,"")</f>
        <v/>
      </c>
      <c r="Y328" s="100" t="str">
        <f t="shared" ref="Y328:Y391" si="179">IF(F328=1,latitude(K328,W328,X328),"")</f>
        <v/>
      </c>
      <c r="Z328" s="100" t="str">
        <f t="shared" ref="Z328:Z391" si="180">IF(F328=1,longitude(K328,W328,X328),"")</f>
        <v/>
      </c>
      <c r="AA328" s="100" t="e">
        <f t="shared" ref="AA328:AA391" si="181">B327-Y328</f>
        <v>#VALUE!</v>
      </c>
      <c r="AB328" s="100" t="e">
        <f t="shared" ref="AB328:AB391" si="182">Y328-B329</f>
        <v>#VALUE!</v>
      </c>
      <c r="AC328" s="100" t="e">
        <f t="shared" ref="AC328:AC391" si="183">C327-Z328</f>
        <v>#VALUE!</v>
      </c>
      <c r="AD328" s="100" t="e">
        <f t="shared" ref="AD328:AD391" si="184">Z328-C329</f>
        <v>#VALUE!</v>
      </c>
      <c r="AE328" s="8" t="str">
        <f t="shared" si="157"/>
        <v/>
      </c>
      <c r="AF328" s="8" t="str">
        <f t="shared" si="158"/>
        <v/>
      </c>
      <c r="AG328" s="7" t="str">
        <f t="shared" ref="AG328:AG391" si="185">IF(F328=1,IF(AND(AE328="Good",AF328="Good"),"Good",""),"Good")</f>
        <v>Good</v>
      </c>
      <c r="AI328" s="100">
        <f t="shared" ref="AI328:AI391" si="186">IF(B328="",Y328,B328)</f>
        <v>29.015880967000001</v>
      </c>
      <c r="AJ328" s="100">
        <f t="shared" ref="AJ328:AJ391" si="187">IF(C328="",Z328,C328)</f>
        <v>47.615443132000003</v>
      </c>
    </row>
    <row r="329" spans="1:36" x14ac:dyDescent="0.2">
      <c r="A329" s="8">
        <v>35.973999999999997</v>
      </c>
      <c r="B329" s="100">
        <v>29.016280306999999</v>
      </c>
      <c r="C329" s="100">
        <v>47.613904589999997</v>
      </c>
      <c r="D329" s="101">
        <v>35973.950846894069</v>
      </c>
      <c r="E329" s="42" t="str">
        <f t="shared" si="159"/>
        <v/>
      </c>
      <c r="F329" s="7" t="str">
        <f t="shared" si="160"/>
        <v/>
      </c>
      <c r="G329" s="100" t="str">
        <f t="shared" si="161"/>
        <v/>
      </c>
      <c r="H329" s="100" t="str">
        <f t="shared" si="162"/>
        <v/>
      </c>
      <c r="I329" s="100" t="str">
        <f t="shared" si="163"/>
        <v/>
      </c>
      <c r="J329" s="100" t="str">
        <f t="shared" si="164"/>
        <v/>
      </c>
      <c r="K329" s="102" t="str">
        <f t="shared" si="165"/>
        <v/>
      </c>
      <c r="L329" s="103" t="str">
        <f t="shared" si="166"/>
        <v/>
      </c>
      <c r="M329" s="103" t="str">
        <f t="shared" si="167"/>
        <v/>
      </c>
      <c r="N329" s="103" t="str">
        <f t="shared" si="168"/>
        <v/>
      </c>
      <c r="O329" s="103" t="str">
        <f t="shared" si="169"/>
        <v/>
      </c>
      <c r="P329" s="105" t="str">
        <f t="shared" si="170"/>
        <v/>
      </c>
      <c r="Q329" s="105" t="str">
        <f t="shared" si="171"/>
        <v/>
      </c>
      <c r="R329" s="104" t="str">
        <f t="shared" si="172"/>
        <v/>
      </c>
      <c r="S329" s="104" t="str">
        <f t="shared" si="173"/>
        <v/>
      </c>
      <c r="T329" s="105" t="str">
        <f t="shared" si="174"/>
        <v/>
      </c>
      <c r="U329" s="14" t="str">
        <f t="shared" si="175"/>
        <v/>
      </c>
      <c r="V329" s="14" t="str">
        <f t="shared" si="176"/>
        <v/>
      </c>
      <c r="W329" s="103" t="str">
        <f t="shared" si="177"/>
        <v/>
      </c>
      <c r="X329" s="103" t="str">
        <f t="shared" si="178"/>
        <v/>
      </c>
      <c r="Y329" s="100" t="str">
        <f t="shared" si="179"/>
        <v/>
      </c>
      <c r="Z329" s="100" t="str">
        <f t="shared" si="180"/>
        <v/>
      </c>
      <c r="AA329" s="100" t="e">
        <f t="shared" si="181"/>
        <v>#VALUE!</v>
      </c>
      <c r="AB329" s="100" t="e">
        <f t="shared" si="182"/>
        <v>#VALUE!</v>
      </c>
      <c r="AC329" s="100" t="e">
        <f t="shared" si="183"/>
        <v>#VALUE!</v>
      </c>
      <c r="AD329" s="100" t="e">
        <f t="shared" si="184"/>
        <v>#VALUE!</v>
      </c>
      <c r="AE329" s="8" t="str">
        <f t="shared" si="157"/>
        <v/>
      </c>
      <c r="AF329" s="8" t="str">
        <f t="shared" si="158"/>
        <v/>
      </c>
      <c r="AG329" s="7" t="str">
        <f t="shared" si="185"/>
        <v>Good</v>
      </c>
      <c r="AI329" s="100">
        <f t="shared" si="186"/>
        <v>29.016280306999999</v>
      </c>
      <c r="AJ329" s="100">
        <f t="shared" si="187"/>
        <v>47.613904589999997</v>
      </c>
    </row>
    <row r="330" spans="1:36" x14ac:dyDescent="0.2">
      <c r="A330" s="8">
        <v>35.976999999999997</v>
      </c>
      <c r="B330" s="100">
        <v>29.016290151</v>
      </c>
      <c r="C330" s="100">
        <v>47.61387053</v>
      </c>
      <c r="D330" s="101">
        <v>35977.436633682082</v>
      </c>
      <c r="E330" s="42" t="str">
        <f t="shared" si="159"/>
        <v/>
      </c>
      <c r="F330" s="7" t="str">
        <f t="shared" si="160"/>
        <v/>
      </c>
      <c r="G330" s="100" t="str">
        <f t="shared" si="161"/>
        <v/>
      </c>
      <c r="H330" s="100" t="str">
        <f t="shared" si="162"/>
        <v/>
      </c>
      <c r="I330" s="100" t="str">
        <f t="shared" si="163"/>
        <v/>
      </c>
      <c r="J330" s="100" t="str">
        <f t="shared" si="164"/>
        <v/>
      </c>
      <c r="K330" s="102" t="str">
        <f t="shared" si="165"/>
        <v/>
      </c>
      <c r="L330" s="103" t="str">
        <f t="shared" si="166"/>
        <v/>
      </c>
      <c r="M330" s="103" t="str">
        <f t="shared" si="167"/>
        <v/>
      </c>
      <c r="N330" s="103" t="str">
        <f t="shared" si="168"/>
        <v/>
      </c>
      <c r="O330" s="103" t="str">
        <f t="shared" si="169"/>
        <v/>
      </c>
      <c r="P330" s="105" t="str">
        <f t="shared" si="170"/>
        <v/>
      </c>
      <c r="Q330" s="105" t="str">
        <f t="shared" si="171"/>
        <v/>
      </c>
      <c r="R330" s="104" t="str">
        <f t="shared" si="172"/>
        <v/>
      </c>
      <c r="S330" s="104" t="str">
        <f t="shared" si="173"/>
        <v/>
      </c>
      <c r="T330" s="105" t="str">
        <f t="shared" si="174"/>
        <v/>
      </c>
      <c r="U330" s="14" t="str">
        <f t="shared" si="175"/>
        <v/>
      </c>
      <c r="V330" s="14" t="str">
        <f t="shared" si="176"/>
        <v/>
      </c>
      <c r="W330" s="103" t="str">
        <f t="shared" si="177"/>
        <v/>
      </c>
      <c r="X330" s="103" t="str">
        <f t="shared" si="178"/>
        <v/>
      </c>
      <c r="Y330" s="100" t="str">
        <f t="shared" si="179"/>
        <v/>
      </c>
      <c r="Z330" s="100" t="str">
        <f t="shared" si="180"/>
        <v/>
      </c>
      <c r="AA330" s="100" t="e">
        <f t="shared" si="181"/>
        <v>#VALUE!</v>
      </c>
      <c r="AB330" s="100" t="e">
        <f t="shared" si="182"/>
        <v>#VALUE!</v>
      </c>
      <c r="AC330" s="100" t="e">
        <f t="shared" si="183"/>
        <v>#VALUE!</v>
      </c>
      <c r="AD330" s="100" t="e">
        <f t="shared" si="184"/>
        <v>#VALUE!</v>
      </c>
      <c r="AE330" s="8" t="str">
        <f t="shared" si="157"/>
        <v/>
      </c>
      <c r="AF330" s="8" t="str">
        <f t="shared" si="158"/>
        <v/>
      </c>
      <c r="AG330" s="7" t="str">
        <f t="shared" si="185"/>
        <v>Good</v>
      </c>
      <c r="AI330" s="100">
        <f t="shared" si="186"/>
        <v>29.016290151</v>
      </c>
      <c r="AJ330" s="100">
        <f t="shared" si="187"/>
        <v>47.61387053</v>
      </c>
    </row>
    <row r="331" spans="1:36" x14ac:dyDescent="0.2">
      <c r="A331" s="8">
        <v>36.142000000000003</v>
      </c>
      <c r="B331" s="100">
        <v>29.016704713999999</v>
      </c>
      <c r="C331" s="100">
        <v>47.612245852000001</v>
      </c>
      <c r="D331" s="101">
        <v>36141.893434515383</v>
      </c>
      <c r="E331" s="42" t="str">
        <f t="shared" si="159"/>
        <v/>
      </c>
      <c r="F331" s="7" t="str">
        <f t="shared" si="160"/>
        <v/>
      </c>
      <c r="G331" s="100" t="str">
        <f t="shared" si="161"/>
        <v/>
      </c>
      <c r="H331" s="100" t="str">
        <f t="shared" si="162"/>
        <v/>
      </c>
      <c r="I331" s="100" t="str">
        <f t="shared" si="163"/>
        <v/>
      </c>
      <c r="J331" s="100" t="str">
        <f t="shared" si="164"/>
        <v/>
      </c>
      <c r="K331" s="102" t="str">
        <f t="shared" si="165"/>
        <v/>
      </c>
      <c r="L331" s="103" t="str">
        <f t="shared" si="166"/>
        <v/>
      </c>
      <c r="M331" s="103" t="str">
        <f t="shared" si="167"/>
        <v/>
      </c>
      <c r="N331" s="103" t="str">
        <f t="shared" si="168"/>
        <v/>
      </c>
      <c r="O331" s="103" t="str">
        <f t="shared" si="169"/>
        <v/>
      </c>
      <c r="P331" s="105" t="str">
        <f t="shared" si="170"/>
        <v/>
      </c>
      <c r="Q331" s="105" t="str">
        <f t="shared" si="171"/>
        <v/>
      </c>
      <c r="R331" s="104" t="str">
        <f t="shared" si="172"/>
        <v/>
      </c>
      <c r="S331" s="104" t="str">
        <f t="shared" si="173"/>
        <v/>
      </c>
      <c r="T331" s="105" t="str">
        <f t="shared" si="174"/>
        <v/>
      </c>
      <c r="U331" s="14" t="str">
        <f t="shared" si="175"/>
        <v/>
      </c>
      <c r="V331" s="14" t="str">
        <f t="shared" si="176"/>
        <v/>
      </c>
      <c r="W331" s="103" t="str">
        <f t="shared" si="177"/>
        <v/>
      </c>
      <c r="X331" s="103" t="str">
        <f t="shared" si="178"/>
        <v/>
      </c>
      <c r="Y331" s="100" t="str">
        <f t="shared" si="179"/>
        <v/>
      </c>
      <c r="Z331" s="100" t="str">
        <f t="shared" si="180"/>
        <v/>
      </c>
      <c r="AA331" s="100" t="e">
        <f t="shared" si="181"/>
        <v>#VALUE!</v>
      </c>
      <c r="AB331" s="100" t="e">
        <f t="shared" si="182"/>
        <v>#VALUE!</v>
      </c>
      <c r="AC331" s="100" t="e">
        <f t="shared" si="183"/>
        <v>#VALUE!</v>
      </c>
      <c r="AD331" s="100" t="e">
        <f t="shared" si="184"/>
        <v>#VALUE!</v>
      </c>
      <c r="AE331" s="8" t="str">
        <f t="shared" si="157"/>
        <v/>
      </c>
      <c r="AF331" s="8" t="str">
        <f t="shared" si="158"/>
        <v/>
      </c>
      <c r="AG331" s="7" t="str">
        <f t="shared" si="185"/>
        <v>Good</v>
      </c>
      <c r="AI331" s="100">
        <f t="shared" si="186"/>
        <v>29.016704713999999</v>
      </c>
      <c r="AJ331" s="100">
        <f t="shared" si="187"/>
        <v>47.612245852000001</v>
      </c>
    </row>
    <row r="332" spans="1:36" x14ac:dyDescent="0.2">
      <c r="A332" s="8">
        <v>36.143999999999998</v>
      </c>
      <c r="B332" s="100">
        <v>29.016686017000001</v>
      </c>
      <c r="C332" s="100">
        <v>47.612236451999998</v>
      </c>
      <c r="D332" s="101">
        <v>36144.162421211528</v>
      </c>
      <c r="E332" s="42" t="str">
        <f t="shared" si="159"/>
        <v/>
      </c>
      <c r="F332" s="7" t="str">
        <f t="shared" si="160"/>
        <v/>
      </c>
      <c r="G332" s="100" t="str">
        <f t="shared" si="161"/>
        <v/>
      </c>
      <c r="H332" s="100" t="str">
        <f t="shared" si="162"/>
        <v/>
      </c>
      <c r="I332" s="100" t="str">
        <f t="shared" si="163"/>
        <v/>
      </c>
      <c r="J332" s="100" t="str">
        <f t="shared" si="164"/>
        <v/>
      </c>
      <c r="K332" s="102" t="str">
        <f t="shared" si="165"/>
        <v/>
      </c>
      <c r="L332" s="103" t="str">
        <f t="shared" si="166"/>
        <v/>
      </c>
      <c r="M332" s="103" t="str">
        <f t="shared" si="167"/>
        <v/>
      </c>
      <c r="N332" s="103" t="str">
        <f t="shared" si="168"/>
        <v/>
      </c>
      <c r="O332" s="103" t="str">
        <f t="shared" si="169"/>
        <v/>
      </c>
      <c r="P332" s="105" t="str">
        <f t="shared" si="170"/>
        <v/>
      </c>
      <c r="Q332" s="105" t="str">
        <f t="shared" si="171"/>
        <v/>
      </c>
      <c r="R332" s="104" t="str">
        <f t="shared" si="172"/>
        <v/>
      </c>
      <c r="S332" s="104" t="str">
        <f t="shared" si="173"/>
        <v/>
      </c>
      <c r="T332" s="105" t="str">
        <f t="shared" si="174"/>
        <v/>
      </c>
      <c r="U332" s="14" t="str">
        <f t="shared" si="175"/>
        <v/>
      </c>
      <c r="V332" s="14" t="str">
        <f t="shared" si="176"/>
        <v/>
      </c>
      <c r="W332" s="103" t="str">
        <f t="shared" si="177"/>
        <v/>
      </c>
      <c r="X332" s="103" t="str">
        <f t="shared" si="178"/>
        <v/>
      </c>
      <c r="Y332" s="100" t="str">
        <f t="shared" si="179"/>
        <v/>
      </c>
      <c r="Z332" s="100" t="str">
        <f t="shared" si="180"/>
        <v/>
      </c>
      <c r="AA332" s="100" t="e">
        <f t="shared" si="181"/>
        <v>#VALUE!</v>
      </c>
      <c r="AB332" s="100" t="e">
        <f t="shared" si="182"/>
        <v>#VALUE!</v>
      </c>
      <c r="AC332" s="100" t="e">
        <f t="shared" si="183"/>
        <v>#VALUE!</v>
      </c>
      <c r="AD332" s="100" t="e">
        <f t="shared" si="184"/>
        <v>#VALUE!</v>
      </c>
      <c r="AE332" s="8" t="str">
        <f t="shared" si="157"/>
        <v/>
      </c>
      <c r="AF332" s="8" t="str">
        <f t="shared" si="158"/>
        <v/>
      </c>
      <c r="AG332" s="7" t="str">
        <f t="shared" si="185"/>
        <v>Good</v>
      </c>
      <c r="AI332" s="100">
        <f t="shared" si="186"/>
        <v>29.016686017000001</v>
      </c>
      <c r="AJ332" s="100">
        <f t="shared" si="187"/>
        <v>47.612236451999998</v>
      </c>
    </row>
    <row r="333" spans="1:36" x14ac:dyDescent="0.2">
      <c r="A333" s="8">
        <v>36.570999999999998</v>
      </c>
      <c r="B333" s="100">
        <v>29.01779299</v>
      </c>
      <c r="C333" s="100">
        <v>47.608025916000003</v>
      </c>
      <c r="D333" s="101">
        <v>36571.396331077878</v>
      </c>
      <c r="E333" s="42" t="str">
        <f t="shared" si="159"/>
        <v/>
      </c>
      <c r="F333" s="7" t="str">
        <f t="shared" si="160"/>
        <v/>
      </c>
      <c r="G333" s="100" t="str">
        <f t="shared" si="161"/>
        <v/>
      </c>
      <c r="H333" s="100" t="str">
        <f t="shared" si="162"/>
        <v/>
      </c>
      <c r="I333" s="100" t="str">
        <f t="shared" si="163"/>
        <v/>
      </c>
      <c r="J333" s="100" t="str">
        <f t="shared" si="164"/>
        <v/>
      </c>
      <c r="K333" s="102" t="str">
        <f t="shared" si="165"/>
        <v/>
      </c>
      <c r="L333" s="103" t="str">
        <f t="shared" si="166"/>
        <v/>
      </c>
      <c r="M333" s="103" t="str">
        <f t="shared" si="167"/>
        <v/>
      </c>
      <c r="N333" s="103" t="str">
        <f t="shared" si="168"/>
        <v/>
      </c>
      <c r="O333" s="103" t="str">
        <f t="shared" si="169"/>
        <v/>
      </c>
      <c r="P333" s="105" t="str">
        <f t="shared" si="170"/>
        <v/>
      </c>
      <c r="Q333" s="105" t="str">
        <f t="shared" si="171"/>
        <v/>
      </c>
      <c r="R333" s="104" t="str">
        <f t="shared" si="172"/>
        <v/>
      </c>
      <c r="S333" s="104" t="str">
        <f t="shared" si="173"/>
        <v/>
      </c>
      <c r="T333" s="105" t="str">
        <f t="shared" si="174"/>
        <v/>
      </c>
      <c r="U333" s="14" t="str">
        <f t="shared" si="175"/>
        <v/>
      </c>
      <c r="V333" s="14" t="str">
        <f t="shared" si="176"/>
        <v/>
      </c>
      <c r="W333" s="103" t="str">
        <f t="shared" si="177"/>
        <v/>
      </c>
      <c r="X333" s="103" t="str">
        <f t="shared" si="178"/>
        <v/>
      </c>
      <c r="Y333" s="100" t="str">
        <f t="shared" si="179"/>
        <v/>
      </c>
      <c r="Z333" s="100" t="str">
        <f t="shared" si="180"/>
        <v/>
      </c>
      <c r="AA333" s="100" t="e">
        <f t="shared" si="181"/>
        <v>#VALUE!</v>
      </c>
      <c r="AB333" s="100" t="e">
        <f t="shared" si="182"/>
        <v>#VALUE!</v>
      </c>
      <c r="AC333" s="100" t="e">
        <f t="shared" si="183"/>
        <v>#VALUE!</v>
      </c>
      <c r="AD333" s="100" t="e">
        <f t="shared" si="184"/>
        <v>#VALUE!</v>
      </c>
      <c r="AE333" s="8" t="str">
        <f t="shared" si="157"/>
        <v/>
      </c>
      <c r="AF333" s="8" t="str">
        <f t="shared" si="158"/>
        <v/>
      </c>
      <c r="AG333" s="7" t="str">
        <f t="shared" si="185"/>
        <v>Good</v>
      </c>
      <c r="AI333" s="100">
        <f t="shared" si="186"/>
        <v>29.01779299</v>
      </c>
      <c r="AJ333" s="100">
        <f t="shared" si="187"/>
        <v>47.608025916000003</v>
      </c>
    </row>
    <row r="334" spans="1:36" x14ac:dyDescent="0.2">
      <c r="A334" s="8">
        <v>36.845999999999997</v>
      </c>
      <c r="D334" s="101">
        <v>36846</v>
      </c>
      <c r="E334" s="42">
        <f t="shared" si="159"/>
        <v>274.60366892212187</v>
      </c>
      <c r="F334" s="7">
        <f t="shared" si="160"/>
        <v>1</v>
      </c>
      <c r="G334" s="100">
        <f t="shared" si="161"/>
        <v>29.01779299</v>
      </c>
      <c r="H334" s="100">
        <f t="shared" si="162"/>
        <v>47.608025916000003</v>
      </c>
      <c r="I334" s="100">
        <f t="shared" si="163"/>
        <v>29.018489882000001</v>
      </c>
      <c r="J334" s="100">
        <f t="shared" si="164"/>
        <v>47.605307332000002</v>
      </c>
      <c r="K334" s="102">
        <f t="shared" si="165"/>
        <v>38</v>
      </c>
      <c r="L334" s="103">
        <f t="shared" si="166"/>
        <v>3212762.6329787723</v>
      </c>
      <c r="M334" s="103">
        <f t="shared" si="167"/>
        <v>754024.8071428783</v>
      </c>
      <c r="N334" s="103">
        <f t="shared" si="168"/>
        <v>3212834.0355266677</v>
      </c>
      <c r="O334" s="103">
        <f t="shared" si="169"/>
        <v>753758.211310699</v>
      </c>
      <c r="P334" s="105">
        <f t="shared" si="170"/>
        <v>71.402547895442694</v>
      </c>
      <c r="Q334" s="105">
        <f t="shared" si="171"/>
        <v>-266.59583217930049</v>
      </c>
      <c r="R334" s="104">
        <f t="shared" si="172"/>
        <v>275.99214043398905</v>
      </c>
      <c r="S334" s="104" t="str">
        <f t="shared" si="173"/>
        <v>NW</v>
      </c>
      <c r="T334" s="105">
        <f t="shared" si="174"/>
        <v>0.26168882799145943</v>
      </c>
      <c r="U334" s="14">
        <f t="shared" si="175"/>
        <v>-265.25463196402836</v>
      </c>
      <c r="V334" s="14">
        <f t="shared" si="176"/>
        <v>71.043333305231315</v>
      </c>
      <c r="W334" s="103">
        <f t="shared" si="177"/>
        <v>3212833.6763120773</v>
      </c>
      <c r="X334" s="103">
        <f t="shared" si="178"/>
        <v>753759.55251091428</v>
      </c>
      <c r="Y334" s="100">
        <f t="shared" si="179"/>
        <v>29.018486347802821</v>
      </c>
      <c r="Z334" s="100">
        <f t="shared" si="180"/>
        <v>47.605321009147929</v>
      </c>
      <c r="AA334" s="100">
        <f t="shared" si="181"/>
        <v>-6.9335780282031578E-4</v>
      </c>
      <c r="AB334" s="100">
        <f t="shared" si="182"/>
        <v>-3.5341971802438366E-6</v>
      </c>
      <c r="AC334" s="100">
        <f t="shared" si="183"/>
        <v>2.7049068520739183E-3</v>
      </c>
      <c r="AD334" s="100">
        <f t="shared" si="184"/>
        <v>1.3677147926216549E-5</v>
      </c>
      <c r="AE334" s="8" t="str">
        <f t="shared" si="157"/>
        <v>Good</v>
      </c>
      <c r="AF334" s="8" t="str">
        <f t="shared" si="158"/>
        <v>Good</v>
      </c>
      <c r="AG334" s="7" t="str">
        <f t="shared" si="185"/>
        <v>Good</v>
      </c>
      <c r="AI334" s="100">
        <f t="shared" si="186"/>
        <v>29.018486347802821</v>
      </c>
      <c r="AJ334" s="100">
        <f t="shared" si="187"/>
        <v>47.605321009147929</v>
      </c>
    </row>
    <row r="335" spans="1:36" x14ac:dyDescent="0.2">
      <c r="A335" s="8">
        <v>36.847000000000001</v>
      </c>
      <c r="B335" s="100">
        <v>29.018489882000001</v>
      </c>
      <c r="C335" s="100">
        <v>47.605307332000002</v>
      </c>
      <c r="D335" s="101">
        <v>36846.678735468748</v>
      </c>
      <c r="E335" s="42" t="str">
        <f t="shared" si="159"/>
        <v/>
      </c>
      <c r="F335" s="7" t="str">
        <f t="shared" si="160"/>
        <v/>
      </c>
      <c r="G335" s="100" t="str">
        <f t="shared" si="161"/>
        <v/>
      </c>
      <c r="H335" s="100" t="str">
        <f t="shared" si="162"/>
        <v/>
      </c>
      <c r="I335" s="100" t="str">
        <f t="shared" si="163"/>
        <v/>
      </c>
      <c r="J335" s="100" t="str">
        <f t="shared" si="164"/>
        <v/>
      </c>
      <c r="K335" s="102" t="str">
        <f t="shared" si="165"/>
        <v/>
      </c>
      <c r="L335" s="103" t="str">
        <f t="shared" si="166"/>
        <v/>
      </c>
      <c r="M335" s="103" t="str">
        <f t="shared" si="167"/>
        <v/>
      </c>
      <c r="N335" s="103" t="str">
        <f t="shared" si="168"/>
        <v/>
      </c>
      <c r="O335" s="103" t="str">
        <f t="shared" si="169"/>
        <v/>
      </c>
      <c r="P335" s="105" t="str">
        <f t="shared" si="170"/>
        <v/>
      </c>
      <c r="Q335" s="105" t="str">
        <f t="shared" si="171"/>
        <v/>
      </c>
      <c r="R335" s="104" t="str">
        <f t="shared" si="172"/>
        <v/>
      </c>
      <c r="S335" s="104" t="str">
        <f t="shared" si="173"/>
        <v/>
      </c>
      <c r="T335" s="105" t="str">
        <f t="shared" si="174"/>
        <v/>
      </c>
      <c r="U335" s="14" t="str">
        <f t="shared" si="175"/>
        <v/>
      </c>
      <c r="V335" s="14" t="str">
        <f t="shared" si="176"/>
        <v/>
      </c>
      <c r="W335" s="103" t="str">
        <f t="shared" si="177"/>
        <v/>
      </c>
      <c r="X335" s="103" t="str">
        <f t="shared" si="178"/>
        <v/>
      </c>
      <c r="Y335" s="100" t="str">
        <f t="shared" si="179"/>
        <v/>
      </c>
      <c r="Z335" s="100" t="str">
        <f t="shared" si="180"/>
        <v/>
      </c>
      <c r="AA335" s="100" t="e">
        <f t="shared" si="181"/>
        <v>#VALUE!</v>
      </c>
      <c r="AB335" s="100" t="e">
        <f t="shared" si="182"/>
        <v>#VALUE!</v>
      </c>
      <c r="AC335" s="100" t="e">
        <f t="shared" si="183"/>
        <v>#VALUE!</v>
      </c>
      <c r="AD335" s="100" t="e">
        <f t="shared" si="184"/>
        <v>#VALUE!</v>
      </c>
      <c r="AE335" s="8" t="str">
        <f t="shared" si="157"/>
        <v/>
      </c>
      <c r="AF335" s="8" t="str">
        <f t="shared" si="158"/>
        <v/>
      </c>
      <c r="AG335" s="7" t="str">
        <f t="shared" si="185"/>
        <v>Good</v>
      </c>
      <c r="AI335" s="100">
        <f t="shared" si="186"/>
        <v>29.018489882000001</v>
      </c>
      <c r="AJ335" s="100">
        <f t="shared" si="187"/>
        <v>47.605307332000002</v>
      </c>
    </row>
    <row r="336" spans="1:36" x14ac:dyDescent="0.2">
      <c r="A336" s="8">
        <v>36.85</v>
      </c>
      <c r="B336" s="100">
        <v>29.018499130999999</v>
      </c>
      <c r="C336" s="100">
        <v>47.605272648000003</v>
      </c>
      <c r="D336" s="101">
        <v>36850.203040407076</v>
      </c>
      <c r="E336" s="42" t="str">
        <f t="shared" si="159"/>
        <v/>
      </c>
      <c r="F336" s="7" t="str">
        <f t="shared" si="160"/>
        <v/>
      </c>
      <c r="G336" s="100" t="str">
        <f t="shared" si="161"/>
        <v/>
      </c>
      <c r="H336" s="100" t="str">
        <f t="shared" si="162"/>
        <v/>
      </c>
      <c r="I336" s="100" t="str">
        <f t="shared" si="163"/>
        <v/>
      </c>
      <c r="J336" s="100" t="str">
        <f t="shared" si="164"/>
        <v/>
      </c>
      <c r="K336" s="102" t="str">
        <f t="shared" si="165"/>
        <v/>
      </c>
      <c r="L336" s="103" t="str">
        <f t="shared" si="166"/>
        <v/>
      </c>
      <c r="M336" s="103" t="str">
        <f t="shared" si="167"/>
        <v/>
      </c>
      <c r="N336" s="103" t="str">
        <f t="shared" si="168"/>
        <v/>
      </c>
      <c r="O336" s="103" t="str">
        <f t="shared" si="169"/>
        <v/>
      </c>
      <c r="P336" s="105" t="str">
        <f t="shared" si="170"/>
        <v/>
      </c>
      <c r="Q336" s="105" t="str">
        <f t="shared" si="171"/>
        <v/>
      </c>
      <c r="R336" s="104" t="str">
        <f t="shared" si="172"/>
        <v/>
      </c>
      <c r="S336" s="104" t="str">
        <f t="shared" si="173"/>
        <v/>
      </c>
      <c r="T336" s="105" t="str">
        <f t="shared" si="174"/>
        <v/>
      </c>
      <c r="U336" s="14" t="str">
        <f t="shared" si="175"/>
        <v/>
      </c>
      <c r="V336" s="14" t="str">
        <f t="shared" si="176"/>
        <v/>
      </c>
      <c r="W336" s="103" t="str">
        <f t="shared" si="177"/>
        <v/>
      </c>
      <c r="X336" s="103" t="str">
        <f t="shared" si="178"/>
        <v/>
      </c>
      <c r="Y336" s="100" t="str">
        <f t="shared" si="179"/>
        <v/>
      </c>
      <c r="Z336" s="100" t="str">
        <f t="shared" si="180"/>
        <v/>
      </c>
      <c r="AA336" s="100" t="e">
        <f t="shared" si="181"/>
        <v>#VALUE!</v>
      </c>
      <c r="AB336" s="100" t="e">
        <f t="shared" si="182"/>
        <v>#VALUE!</v>
      </c>
      <c r="AC336" s="100" t="e">
        <f t="shared" si="183"/>
        <v>#VALUE!</v>
      </c>
      <c r="AD336" s="100" t="e">
        <f t="shared" si="184"/>
        <v>#VALUE!</v>
      </c>
      <c r="AE336" s="8" t="str">
        <f t="shared" si="157"/>
        <v/>
      </c>
      <c r="AF336" s="8" t="str">
        <f t="shared" si="158"/>
        <v/>
      </c>
      <c r="AG336" s="7" t="str">
        <f t="shared" si="185"/>
        <v>Good</v>
      </c>
      <c r="AI336" s="100">
        <f t="shared" si="186"/>
        <v>29.018499130999999</v>
      </c>
      <c r="AJ336" s="100">
        <f t="shared" si="187"/>
        <v>47.605272648000003</v>
      </c>
    </row>
    <row r="337" spans="1:36" x14ac:dyDescent="0.2">
      <c r="A337" s="8">
        <v>36.902000000000001</v>
      </c>
      <c r="B337" s="100">
        <v>29.018636726</v>
      </c>
      <c r="C337" s="100">
        <v>47.604764879999998</v>
      </c>
      <c r="D337" s="101">
        <v>36901.857544638086</v>
      </c>
      <c r="E337" s="42" t="str">
        <f t="shared" si="159"/>
        <v/>
      </c>
      <c r="F337" s="7" t="str">
        <f t="shared" si="160"/>
        <v/>
      </c>
      <c r="G337" s="100" t="str">
        <f t="shared" si="161"/>
        <v/>
      </c>
      <c r="H337" s="100" t="str">
        <f t="shared" si="162"/>
        <v/>
      </c>
      <c r="I337" s="100" t="str">
        <f t="shared" si="163"/>
        <v/>
      </c>
      <c r="J337" s="100" t="str">
        <f t="shared" si="164"/>
        <v/>
      </c>
      <c r="K337" s="102" t="str">
        <f t="shared" si="165"/>
        <v/>
      </c>
      <c r="L337" s="103" t="str">
        <f t="shared" si="166"/>
        <v/>
      </c>
      <c r="M337" s="103" t="str">
        <f t="shared" si="167"/>
        <v/>
      </c>
      <c r="N337" s="103" t="str">
        <f t="shared" si="168"/>
        <v/>
      </c>
      <c r="O337" s="103" t="str">
        <f t="shared" si="169"/>
        <v/>
      </c>
      <c r="P337" s="105" t="str">
        <f t="shared" si="170"/>
        <v/>
      </c>
      <c r="Q337" s="105" t="str">
        <f t="shared" si="171"/>
        <v/>
      </c>
      <c r="R337" s="104" t="str">
        <f t="shared" si="172"/>
        <v/>
      </c>
      <c r="S337" s="104" t="str">
        <f t="shared" si="173"/>
        <v/>
      </c>
      <c r="T337" s="105" t="str">
        <f t="shared" si="174"/>
        <v/>
      </c>
      <c r="U337" s="14" t="str">
        <f t="shared" si="175"/>
        <v/>
      </c>
      <c r="V337" s="14" t="str">
        <f t="shared" si="176"/>
        <v/>
      </c>
      <c r="W337" s="103" t="str">
        <f t="shared" si="177"/>
        <v/>
      </c>
      <c r="X337" s="103" t="str">
        <f t="shared" si="178"/>
        <v/>
      </c>
      <c r="Y337" s="100" t="str">
        <f t="shared" si="179"/>
        <v/>
      </c>
      <c r="Z337" s="100" t="str">
        <f t="shared" si="180"/>
        <v/>
      </c>
      <c r="AA337" s="100" t="e">
        <f t="shared" si="181"/>
        <v>#VALUE!</v>
      </c>
      <c r="AB337" s="100" t="e">
        <f t="shared" si="182"/>
        <v>#VALUE!</v>
      </c>
      <c r="AC337" s="100" t="e">
        <f t="shared" si="183"/>
        <v>#VALUE!</v>
      </c>
      <c r="AD337" s="100" t="e">
        <f t="shared" si="184"/>
        <v>#VALUE!</v>
      </c>
      <c r="AE337" s="8" t="str">
        <f t="shared" si="157"/>
        <v/>
      </c>
      <c r="AF337" s="8" t="str">
        <f t="shared" si="158"/>
        <v/>
      </c>
      <c r="AG337" s="7" t="str">
        <f t="shared" si="185"/>
        <v>Good</v>
      </c>
      <c r="AI337" s="100">
        <f t="shared" si="186"/>
        <v>29.018636726</v>
      </c>
      <c r="AJ337" s="100">
        <f t="shared" si="187"/>
        <v>47.604764879999998</v>
      </c>
    </row>
    <row r="338" spans="1:36" x14ac:dyDescent="0.2">
      <c r="A338" s="8">
        <v>36.947000000000003</v>
      </c>
      <c r="B338" s="100">
        <v>29.018748232</v>
      </c>
      <c r="C338" s="100">
        <v>47.604315696</v>
      </c>
      <c r="D338" s="101">
        <v>36947.229344368374</v>
      </c>
      <c r="E338" s="42" t="str">
        <f t="shared" si="159"/>
        <v/>
      </c>
      <c r="F338" s="7" t="str">
        <f t="shared" si="160"/>
        <v/>
      </c>
      <c r="G338" s="100" t="str">
        <f t="shared" si="161"/>
        <v/>
      </c>
      <c r="H338" s="100" t="str">
        <f t="shared" si="162"/>
        <v/>
      </c>
      <c r="I338" s="100" t="str">
        <f t="shared" si="163"/>
        <v/>
      </c>
      <c r="J338" s="100" t="str">
        <f t="shared" si="164"/>
        <v/>
      </c>
      <c r="K338" s="102" t="str">
        <f t="shared" si="165"/>
        <v/>
      </c>
      <c r="L338" s="103" t="str">
        <f t="shared" si="166"/>
        <v/>
      </c>
      <c r="M338" s="103" t="str">
        <f t="shared" si="167"/>
        <v/>
      </c>
      <c r="N338" s="103" t="str">
        <f t="shared" si="168"/>
        <v/>
      </c>
      <c r="O338" s="103" t="str">
        <f t="shared" si="169"/>
        <v/>
      </c>
      <c r="P338" s="105" t="str">
        <f t="shared" si="170"/>
        <v/>
      </c>
      <c r="Q338" s="105" t="str">
        <f t="shared" si="171"/>
        <v/>
      </c>
      <c r="R338" s="104" t="str">
        <f t="shared" si="172"/>
        <v/>
      </c>
      <c r="S338" s="104" t="str">
        <f t="shared" si="173"/>
        <v/>
      </c>
      <c r="T338" s="105" t="str">
        <f t="shared" si="174"/>
        <v/>
      </c>
      <c r="U338" s="14" t="str">
        <f t="shared" si="175"/>
        <v/>
      </c>
      <c r="V338" s="14" t="str">
        <f t="shared" si="176"/>
        <v/>
      </c>
      <c r="W338" s="103" t="str">
        <f t="shared" si="177"/>
        <v/>
      </c>
      <c r="X338" s="103" t="str">
        <f t="shared" si="178"/>
        <v/>
      </c>
      <c r="Y338" s="100" t="str">
        <f t="shared" si="179"/>
        <v/>
      </c>
      <c r="Z338" s="100" t="str">
        <f t="shared" si="180"/>
        <v/>
      </c>
      <c r="AA338" s="100" t="e">
        <f t="shared" si="181"/>
        <v>#VALUE!</v>
      </c>
      <c r="AB338" s="100" t="e">
        <f t="shared" si="182"/>
        <v>#VALUE!</v>
      </c>
      <c r="AC338" s="100" t="e">
        <f t="shared" si="183"/>
        <v>#VALUE!</v>
      </c>
      <c r="AD338" s="100" t="e">
        <f t="shared" si="184"/>
        <v>#VALUE!</v>
      </c>
      <c r="AE338" s="8" t="str">
        <f t="shared" si="157"/>
        <v/>
      </c>
      <c r="AF338" s="8" t="str">
        <f t="shared" si="158"/>
        <v/>
      </c>
      <c r="AG338" s="7" t="str">
        <f t="shared" si="185"/>
        <v>Good</v>
      </c>
      <c r="AI338" s="100">
        <f t="shared" si="186"/>
        <v>29.018748232</v>
      </c>
      <c r="AJ338" s="100">
        <f t="shared" si="187"/>
        <v>47.604315696</v>
      </c>
    </row>
    <row r="339" spans="1:36" x14ac:dyDescent="0.2">
      <c r="A339" s="8">
        <v>36.950000000000003</v>
      </c>
      <c r="B339" s="100">
        <v>29.018727258999998</v>
      </c>
      <c r="C339" s="100">
        <v>47.604310947000002</v>
      </c>
      <c r="D339" s="101">
        <v>36949.604913676092</v>
      </c>
      <c r="E339" s="42" t="str">
        <f t="shared" si="159"/>
        <v/>
      </c>
      <c r="F339" s="7" t="str">
        <f t="shared" si="160"/>
        <v/>
      </c>
      <c r="G339" s="100" t="str">
        <f t="shared" si="161"/>
        <v/>
      </c>
      <c r="H339" s="100" t="str">
        <f t="shared" si="162"/>
        <v/>
      </c>
      <c r="I339" s="100" t="str">
        <f t="shared" si="163"/>
        <v/>
      </c>
      <c r="J339" s="100" t="str">
        <f t="shared" si="164"/>
        <v/>
      </c>
      <c r="K339" s="102" t="str">
        <f t="shared" si="165"/>
        <v/>
      </c>
      <c r="L339" s="103" t="str">
        <f t="shared" si="166"/>
        <v/>
      </c>
      <c r="M339" s="103" t="str">
        <f t="shared" si="167"/>
        <v/>
      </c>
      <c r="N339" s="103" t="str">
        <f t="shared" si="168"/>
        <v/>
      </c>
      <c r="O339" s="103" t="str">
        <f t="shared" si="169"/>
        <v/>
      </c>
      <c r="P339" s="105" t="str">
        <f t="shared" si="170"/>
        <v/>
      </c>
      <c r="Q339" s="105" t="str">
        <f t="shared" si="171"/>
        <v/>
      </c>
      <c r="R339" s="104" t="str">
        <f t="shared" si="172"/>
        <v/>
      </c>
      <c r="S339" s="104" t="str">
        <f t="shared" si="173"/>
        <v/>
      </c>
      <c r="T339" s="105" t="str">
        <f t="shared" si="174"/>
        <v/>
      </c>
      <c r="U339" s="14" t="str">
        <f t="shared" si="175"/>
        <v/>
      </c>
      <c r="V339" s="14" t="str">
        <f t="shared" si="176"/>
        <v/>
      </c>
      <c r="W339" s="103" t="str">
        <f t="shared" si="177"/>
        <v/>
      </c>
      <c r="X339" s="103" t="str">
        <f t="shared" si="178"/>
        <v/>
      </c>
      <c r="Y339" s="100" t="str">
        <f t="shared" si="179"/>
        <v/>
      </c>
      <c r="Z339" s="100" t="str">
        <f t="shared" si="180"/>
        <v/>
      </c>
      <c r="AA339" s="100" t="e">
        <f t="shared" si="181"/>
        <v>#VALUE!</v>
      </c>
      <c r="AB339" s="100" t="e">
        <f t="shared" si="182"/>
        <v>#VALUE!</v>
      </c>
      <c r="AC339" s="100" t="e">
        <f t="shared" si="183"/>
        <v>#VALUE!</v>
      </c>
      <c r="AD339" s="100" t="e">
        <f t="shared" si="184"/>
        <v>#VALUE!</v>
      </c>
      <c r="AE339" s="8" t="str">
        <f t="shared" si="157"/>
        <v/>
      </c>
      <c r="AF339" s="8" t="str">
        <f t="shared" si="158"/>
        <v/>
      </c>
      <c r="AG339" s="7" t="str">
        <f t="shared" si="185"/>
        <v>Good</v>
      </c>
      <c r="AI339" s="100">
        <f t="shared" si="186"/>
        <v>29.018727258999998</v>
      </c>
      <c r="AJ339" s="100">
        <f t="shared" si="187"/>
        <v>47.604310947000002</v>
      </c>
    </row>
    <row r="340" spans="1:36" x14ac:dyDescent="0.2">
      <c r="A340" s="8">
        <v>37.055999999999997</v>
      </c>
      <c r="B340" s="100">
        <v>29.019021457000001</v>
      </c>
      <c r="C340" s="100">
        <v>47.603267004000003</v>
      </c>
      <c r="D340" s="101">
        <v>37056.182196839458</v>
      </c>
      <c r="E340" s="42" t="str">
        <f t="shared" si="159"/>
        <v/>
      </c>
      <c r="F340" s="7" t="str">
        <f t="shared" si="160"/>
        <v/>
      </c>
      <c r="G340" s="100" t="str">
        <f t="shared" si="161"/>
        <v/>
      </c>
      <c r="H340" s="100" t="str">
        <f t="shared" si="162"/>
        <v/>
      </c>
      <c r="I340" s="100" t="str">
        <f t="shared" si="163"/>
        <v/>
      </c>
      <c r="J340" s="100" t="str">
        <f t="shared" si="164"/>
        <v/>
      </c>
      <c r="K340" s="102" t="str">
        <f t="shared" si="165"/>
        <v/>
      </c>
      <c r="L340" s="103" t="str">
        <f t="shared" si="166"/>
        <v/>
      </c>
      <c r="M340" s="103" t="str">
        <f t="shared" si="167"/>
        <v/>
      </c>
      <c r="N340" s="103" t="str">
        <f t="shared" si="168"/>
        <v/>
      </c>
      <c r="O340" s="103" t="str">
        <f t="shared" si="169"/>
        <v/>
      </c>
      <c r="P340" s="105" t="str">
        <f t="shared" si="170"/>
        <v/>
      </c>
      <c r="Q340" s="105" t="str">
        <f t="shared" si="171"/>
        <v/>
      </c>
      <c r="R340" s="104" t="str">
        <f t="shared" si="172"/>
        <v/>
      </c>
      <c r="S340" s="104" t="str">
        <f t="shared" si="173"/>
        <v/>
      </c>
      <c r="T340" s="105" t="str">
        <f t="shared" si="174"/>
        <v/>
      </c>
      <c r="U340" s="14" t="str">
        <f t="shared" si="175"/>
        <v/>
      </c>
      <c r="V340" s="14" t="str">
        <f t="shared" si="176"/>
        <v/>
      </c>
      <c r="W340" s="103" t="str">
        <f t="shared" si="177"/>
        <v/>
      </c>
      <c r="X340" s="103" t="str">
        <f t="shared" si="178"/>
        <v/>
      </c>
      <c r="Y340" s="100" t="str">
        <f t="shared" si="179"/>
        <v/>
      </c>
      <c r="Z340" s="100" t="str">
        <f t="shared" si="180"/>
        <v/>
      </c>
      <c r="AA340" s="100" t="e">
        <f t="shared" si="181"/>
        <v>#VALUE!</v>
      </c>
      <c r="AB340" s="100" t="e">
        <f t="shared" si="182"/>
        <v>#VALUE!</v>
      </c>
      <c r="AC340" s="100" t="e">
        <f t="shared" si="183"/>
        <v>#VALUE!</v>
      </c>
      <c r="AD340" s="100" t="e">
        <f t="shared" si="184"/>
        <v>#VALUE!</v>
      </c>
      <c r="AE340" s="8" t="str">
        <f t="shared" si="157"/>
        <v/>
      </c>
      <c r="AF340" s="8" t="str">
        <f t="shared" si="158"/>
        <v/>
      </c>
      <c r="AG340" s="7" t="str">
        <f t="shared" si="185"/>
        <v>Good</v>
      </c>
      <c r="AI340" s="100">
        <f t="shared" si="186"/>
        <v>29.019021457000001</v>
      </c>
      <c r="AJ340" s="100">
        <f t="shared" si="187"/>
        <v>47.603267004000003</v>
      </c>
    </row>
    <row r="341" spans="1:36" x14ac:dyDescent="0.2">
      <c r="A341" s="8">
        <v>37.29</v>
      </c>
      <c r="B341" s="100">
        <v>29.019608732999998</v>
      </c>
      <c r="C341" s="100">
        <v>47.600958140000003</v>
      </c>
      <c r="D341" s="101">
        <v>37289.831245348672</v>
      </c>
      <c r="E341" s="42" t="str">
        <f t="shared" si="159"/>
        <v/>
      </c>
      <c r="F341" s="7" t="str">
        <f t="shared" si="160"/>
        <v/>
      </c>
      <c r="G341" s="100" t="str">
        <f t="shared" si="161"/>
        <v/>
      </c>
      <c r="H341" s="100" t="str">
        <f t="shared" si="162"/>
        <v/>
      </c>
      <c r="I341" s="100" t="str">
        <f t="shared" si="163"/>
        <v/>
      </c>
      <c r="J341" s="100" t="str">
        <f t="shared" si="164"/>
        <v/>
      </c>
      <c r="K341" s="102" t="str">
        <f t="shared" si="165"/>
        <v/>
      </c>
      <c r="L341" s="103" t="str">
        <f t="shared" si="166"/>
        <v/>
      </c>
      <c r="M341" s="103" t="str">
        <f t="shared" si="167"/>
        <v/>
      </c>
      <c r="N341" s="103" t="str">
        <f t="shared" si="168"/>
        <v/>
      </c>
      <c r="O341" s="103" t="str">
        <f t="shared" si="169"/>
        <v/>
      </c>
      <c r="P341" s="105" t="str">
        <f t="shared" si="170"/>
        <v/>
      </c>
      <c r="Q341" s="105" t="str">
        <f t="shared" si="171"/>
        <v/>
      </c>
      <c r="R341" s="104" t="str">
        <f t="shared" si="172"/>
        <v/>
      </c>
      <c r="S341" s="104" t="str">
        <f t="shared" si="173"/>
        <v/>
      </c>
      <c r="T341" s="105" t="str">
        <f t="shared" si="174"/>
        <v/>
      </c>
      <c r="U341" s="14" t="str">
        <f t="shared" si="175"/>
        <v/>
      </c>
      <c r="V341" s="14" t="str">
        <f t="shared" si="176"/>
        <v/>
      </c>
      <c r="W341" s="103" t="str">
        <f t="shared" si="177"/>
        <v/>
      </c>
      <c r="X341" s="103" t="str">
        <f t="shared" si="178"/>
        <v/>
      </c>
      <c r="Y341" s="100" t="str">
        <f t="shared" si="179"/>
        <v/>
      </c>
      <c r="Z341" s="100" t="str">
        <f t="shared" si="180"/>
        <v/>
      </c>
      <c r="AA341" s="100" t="e">
        <f t="shared" si="181"/>
        <v>#VALUE!</v>
      </c>
      <c r="AB341" s="100" t="e">
        <f t="shared" si="182"/>
        <v>#VALUE!</v>
      </c>
      <c r="AC341" s="100" t="e">
        <f t="shared" si="183"/>
        <v>#VALUE!</v>
      </c>
      <c r="AD341" s="100" t="e">
        <f t="shared" si="184"/>
        <v>#VALUE!</v>
      </c>
      <c r="AE341" s="8" t="str">
        <f t="shared" si="157"/>
        <v/>
      </c>
      <c r="AF341" s="8" t="str">
        <f t="shared" si="158"/>
        <v/>
      </c>
      <c r="AG341" s="7" t="str">
        <f t="shared" si="185"/>
        <v>Good</v>
      </c>
      <c r="AI341" s="100">
        <f t="shared" si="186"/>
        <v>29.019608732999998</v>
      </c>
      <c r="AJ341" s="100">
        <f t="shared" si="187"/>
        <v>47.600958140000003</v>
      </c>
    </row>
    <row r="342" spans="1:36" x14ac:dyDescent="0.2">
      <c r="A342" s="8">
        <v>37.448999999999998</v>
      </c>
      <c r="B342" s="100">
        <v>29.020017588000002</v>
      </c>
      <c r="C342" s="100">
        <v>47.599391062999999</v>
      </c>
      <c r="D342" s="101">
        <v>37448.735438159485</v>
      </c>
      <c r="E342" s="42" t="str">
        <f t="shared" si="159"/>
        <v/>
      </c>
      <c r="F342" s="7" t="str">
        <f t="shared" si="160"/>
        <v/>
      </c>
      <c r="G342" s="100" t="str">
        <f t="shared" si="161"/>
        <v/>
      </c>
      <c r="H342" s="100" t="str">
        <f t="shared" si="162"/>
        <v/>
      </c>
      <c r="I342" s="100" t="str">
        <f t="shared" si="163"/>
        <v/>
      </c>
      <c r="J342" s="100" t="str">
        <f t="shared" si="164"/>
        <v/>
      </c>
      <c r="K342" s="102" t="str">
        <f t="shared" si="165"/>
        <v/>
      </c>
      <c r="L342" s="103" t="str">
        <f t="shared" si="166"/>
        <v/>
      </c>
      <c r="M342" s="103" t="str">
        <f t="shared" si="167"/>
        <v/>
      </c>
      <c r="N342" s="103" t="str">
        <f t="shared" si="168"/>
        <v/>
      </c>
      <c r="O342" s="103" t="str">
        <f t="shared" si="169"/>
        <v/>
      </c>
      <c r="P342" s="105" t="str">
        <f t="shared" si="170"/>
        <v/>
      </c>
      <c r="Q342" s="105" t="str">
        <f t="shared" si="171"/>
        <v/>
      </c>
      <c r="R342" s="104" t="str">
        <f t="shared" si="172"/>
        <v/>
      </c>
      <c r="S342" s="104" t="str">
        <f t="shared" si="173"/>
        <v/>
      </c>
      <c r="T342" s="105" t="str">
        <f t="shared" si="174"/>
        <v/>
      </c>
      <c r="U342" s="14" t="str">
        <f t="shared" si="175"/>
        <v/>
      </c>
      <c r="V342" s="14" t="str">
        <f t="shared" si="176"/>
        <v/>
      </c>
      <c r="W342" s="103" t="str">
        <f t="shared" si="177"/>
        <v/>
      </c>
      <c r="X342" s="103" t="str">
        <f t="shared" si="178"/>
        <v/>
      </c>
      <c r="Y342" s="100" t="str">
        <f t="shared" si="179"/>
        <v/>
      </c>
      <c r="Z342" s="100" t="str">
        <f t="shared" si="180"/>
        <v/>
      </c>
      <c r="AA342" s="100" t="e">
        <f t="shared" si="181"/>
        <v>#VALUE!</v>
      </c>
      <c r="AB342" s="100" t="e">
        <f t="shared" si="182"/>
        <v>#VALUE!</v>
      </c>
      <c r="AC342" s="100" t="e">
        <f t="shared" si="183"/>
        <v>#VALUE!</v>
      </c>
      <c r="AD342" s="100" t="e">
        <f t="shared" si="184"/>
        <v>#VALUE!</v>
      </c>
      <c r="AE342" s="8" t="str">
        <f t="shared" si="157"/>
        <v/>
      </c>
      <c r="AF342" s="8" t="str">
        <f t="shared" si="158"/>
        <v/>
      </c>
      <c r="AG342" s="7" t="str">
        <f t="shared" si="185"/>
        <v>Good</v>
      </c>
      <c r="AI342" s="100">
        <f t="shared" si="186"/>
        <v>29.020017588000002</v>
      </c>
      <c r="AJ342" s="100">
        <f t="shared" si="187"/>
        <v>47.599391062999999</v>
      </c>
    </row>
    <row r="343" spans="1:36" x14ac:dyDescent="0.2">
      <c r="A343" s="8">
        <v>37.564</v>
      </c>
      <c r="B343" s="100">
        <v>29.020306367</v>
      </c>
      <c r="C343" s="100">
        <v>47.598249762999998</v>
      </c>
      <c r="D343" s="101">
        <v>37564.183159193642</v>
      </c>
      <c r="E343" s="42" t="str">
        <f t="shared" si="159"/>
        <v/>
      </c>
      <c r="F343" s="7" t="str">
        <f t="shared" si="160"/>
        <v/>
      </c>
      <c r="G343" s="100" t="str">
        <f t="shared" si="161"/>
        <v/>
      </c>
      <c r="H343" s="100" t="str">
        <f t="shared" si="162"/>
        <v/>
      </c>
      <c r="I343" s="100" t="str">
        <f t="shared" si="163"/>
        <v/>
      </c>
      <c r="J343" s="100" t="str">
        <f t="shared" si="164"/>
        <v/>
      </c>
      <c r="K343" s="102" t="str">
        <f t="shared" si="165"/>
        <v/>
      </c>
      <c r="L343" s="103" t="str">
        <f t="shared" si="166"/>
        <v/>
      </c>
      <c r="M343" s="103" t="str">
        <f t="shared" si="167"/>
        <v/>
      </c>
      <c r="N343" s="103" t="str">
        <f t="shared" si="168"/>
        <v/>
      </c>
      <c r="O343" s="103" t="str">
        <f t="shared" si="169"/>
        <v/>
      </c>
      <c r="P343" s="105" t="str">
        <f t="shared" si="170"/>
        <v/>
      </c>
      <c r="Q343" s="105" t="str">
        <f t="shared" si="171"/>
        <v/>
      </c>
      <c r="R343" s="104" t="str">
        <f t="shared" si="172"/>
        <v/>
      </c>
      <c r="S343" s="104" t="str">
        <f t="shared" si="173"/>
        <v/>
      </c>
      <c r="T343" s="105" t="str">
        <f t="shared" si="174"/>
        <v/>
      </c>
      <c r="U343" s="14" t="str">
        <f t="shared" si="175"/>
        <v/>
      </c>
      <c r="V343" s="14" t="str">
        <f t="shared" si="176"/>
        <v/>
      </c>
      <c r="W343" s="103" t="str">
        <f t="shared" si="177"/>
        <v/>
      </c>
      <c r="X343" s="103" t="str">
        <f t="shared" si="178"/>
        <v/>
      </c>
      <c r="Y343" s="100" t="str">
        <f t="shared" si="179"/>
        <v/>
      </c>
      <c r="Z343" s="100" t="str">
        <f t="shared" si="180"/>
        <v/>
      </c>
      <c r="AA343" s="100" t="e">
        <f t="shared" si="181"/>
        <v>#VALUE!</v>
      </c>
      <c r="AB343" s="100" t="e">
        <f t="shared" si="182"/>
        <v>#VALUE!</v>
      </c>
      <c r="AC343" s="100" t="e">
        <f t="shared" si="183"/>
        <v>#VALUE!</v>
      </c>
      <c r="AD343" s="100" t="e">
        <f t="shared" si="184"/>
        <v>#VALUE!</v>
      </c>
      <c r="AE343" s="8" t="str">
        <f t="shared" si="157"/>
        <v/>
      </c>
      <c r="AF343" s="8" t="str">
        <f t="shared" si="158"/>
        <v/>
      </c>
      <c r="AG343" s="7" t="str">
        <f t="shared" si="185"/>
        <v>Good</v>
      </c>
      <c r="AI343" s="100">
        <f t="shared" si="186"/>
        <v>29.020306367</v>
      </c>
      <c r="AJ343" s="100">
        <f t="shared" si="187"/>
        <v>47.598249762999998</v>
      </c>
    </row>
    <row r="344" spans="1:36" x14ac:dyDescent="0.2">
      <c r="A344" s="8">
        <v>37.688000000000002</v>
      </c>
      <c r="B344" s="100">
        <v>29.020606579999999</v>
      </c>
      <c r="C344" s="100">
        <v>47.597017473000001</v>
      </c>
      <c r="D344" s="101">
        <v>37688.482765861845</v>
      </c>
      <c r="E344" s="42" t="str">
        <f t="shared" si="159"/>
        <v/>
      </c>
      <c r="F344" s="7" t="str">
        <f t="shared" si="160"/>
        <v/>
      </c>
      <c r="G344" s="100" t="str">
        <f t="shared" si="161"/>
        <v/>
      </c>
      <c r="H344" s="100" t="str">
        <f t="shared" si="162"/>
        <v/>
      </c>
      <c r="I344" s="100" t="str">
        <f t="shared" si="163"/>
        <v/>
      </c>
      <c r="J344" s="100" t="str">
        <f t="shared" si="164"/>
        <v/>
      </c>
      <c r="K344" s="102" t="str">
        <f t="shared" si="165"/>
        <v/>
      </c>
      <c r="L344" s="103" t="str">
        <f t="shared" si="166"/>
        <v/>
      </c>
      <c r="M344" s="103" t="str">
        <f t="shared" si="167"/>
        <v/>
      </c>
      <c r="N344" s="103" t="str">
        <f t="shared" si="168"/>
        <v/>
      </c>
      <c r="O344" s="103" t="str">
        <f t="shared" si="169"/>
        <v/>
      </c>
      <c r="P344" s="105" t="str">
        <f t="shared" si="170"/>
        <v/>
      </c>
      <c r="Q344" s="105" t="str">
        <f t="shared" si="171"/>
        <v/>
      </c>
      <c r="R344" s="104" t="str">
        <f t="shared" si="172"/>
        <v/>
      </c>
      <c r="S344" s="104" t="str">
        <f t="shared" si="173"/>
        <v/>
      </c>
      <c r="T344" s="105" t="str">
        <f t="shared" si="174"/>
        <v/>
      </c>
      <c r="U344" s="14" t="str">
        <f t="shared" si="175"/>
        <v/>
      </c>
      <c r="V344" s="14" t="str">
        <f t="shared" si="176"/>
        <v/>
      </c>
      <c r="W344" s="103" t="str">
        <f t="shared" si="177"/>
        <v/>
      </c>
      <c r="X344" s="103" t="str">
        <f t="shared" si="178"/>
        <v/>
      </c>
      <c r="Y344" s="100" t="str">
        <f t="shared" si="179"/>
        <v/>
      </c>
      <c r="Z344" s="100" t="str">
        <f t="shared" si="180"/>
        <v/>
      </c>
      <c r="AA344" s="100" t="e">
        <f t="shared" si="181"/>
        <v>#VALUE!</v>
      </c>
      <c r="AB344" s="100" t="e">
        <f t="shared" si="182"/>
        <v>#VALUE!</v>
      </c>
      <c r="AC344" s="100" t="e">
        <f t="shared" si="183"/>
        <v>#VALUE!</v>
      </c>
      <c r="AD344" s="100" t="e">
        <f t="shared" si="184"/>
        <v>#VALUE!</v>
      </c>
      <c r="AE344" s="8" t="str">
        <f t="shared" si="157"/>
        <v/>
      </c>
      <c r="AF344" s="8" t="str">
        <f t="shared" si="158"/>
        <v/>
      </c>
      <c r="AG344" s="7" t="str">
        <f t="shared" si="185"/>
        <v>Good</v>
      </c>
      <c r="AI344" s="100">
        <f t="shared" si="186"/>
        <v>29.020606579999999</v>
      </c>
      <c r="AJ344" s="100">
        <f t="shared" si="187"/>
        <v>47.597017473000001</v>
      </c>
    </row>
    <row r="345" spans="1:36" x14ac:dyDescent="0.2">
      <c r="A345" s="8">
        <v>37.689</v>
      </c>
      <c r="B345" s="100">
        <v>29.020611039999999</v>
      </c>
      <c r="C345" s="100">
        <v>47.597012433000003</v>
      </c>
      <c r="D345" s="101">
        <v>37689.186348767849</v>
      </c>
      <c r="E345" s="42" t="str">
        <f t="shared" si="159"/>
        <v/>
      </c>
      <c r="F345" s="7" t="str">
        <f t="shared" si="160"/>
        <v/>
      </c>
      <c r="G345" s="100" t="str">
        <f t="shared" si="161"/>
        <v/>
      </c>
      <c r="H345" s="100" t="str">
        <f t="shared" si="162"/>
        <v/>
      </c>
      <c r="I345" s="100" t="str">
        <f t="shared" si="163"/>
        <v/>
      </c>
      <c r="J345" s="100" t="str">
        <f t="shared" si="164"/>
        <v/>
      </c>
      <c r="K345" s="102" t="str">
        <f t="shared" si="165"/>
        <v/>
      </c>
      <c r="L345" s="103" t="str">
        <f t="shared" si="166"/>
        <v/>
      </c>
      <c r="M345" s="103" t="str">
        <f t="shared" si="167"/>
        <v/>
      </c>
      <c r="N345" s="103" t="str">
        <f t="shared" si="168"/>
        <v/>
      </c>
      <c r="O345" s="103" t="str">
        <f t="shared" si="169"/>
        <v/>
      </c>
      <c r="P345" s="105" t="str">
        <f t="shared" si="170"/>
        <v/>
      </c>
      <c r="Q345" s="105" t="str">
        <f t="shared" si="171"/>
        <v/>
      </c>
      <c r="R345" s="104" t="str">
        <f t="shared" si="172"/>
        <v/>
      </c>
      <c r="S345" s="104" t="str">
        <f t="shared" si="173"/>
        <v/>
      </c>
      <c r="T345" s="105" t="str">
        <f t="shared" si="174"/>
        <v/>
      </c>
      <c r="U345" s="14" t="str">
        <f t="shared" si="175"/>
        <v/>
      </c>
      <c r="V345" s="14" t="str">
        <f t="shared" si="176"/>
        <v/>
      </c>
      <c r="W345" s="103" t="str">
        <f t="shared" si="177"/>
        <v/>
      </c>
      <c r="X345" s="103" t="str">
        <f t="shared" si="178"/>
        <v/>
      </c>
      <c r="Y345" s="100" t="str">
        <f t="shared" si="179"/>
        <v/>
      </c>
      <c r="Z345" s="100" t="str">
        <f t="shared" si="180"/>
        <v/>
      </c>
      <c r="AA345" s="100" t="e">
        <f t="shared" si="181"/>
        <v>#VALUE!</v>
      </c>
      <c r="AB345" s="100" t="e">
        <f t="shared" si="182"/>
        <v>#VALUE!</v>
      </c>
      <c r="AC345" s="100" t="e">
        <f t="shared" si="183"/>
        <v>#VALUE!</v>
      </c>
      <c r="AD345" s="100" t="e">
        <f t="shared" si="184"/>
        <v>#VALUE!</v>
      </c>
      <c r="AE345" s="8" t="str">
        <f t="shared" si="157"/>
        <v/>
      </c>
      <c r="AF345" s="8" t="str">
        <f t="shared" si="158"/>
        <v/>
      </c>
      <c r="AG345" s="7" t="str">
        <f t="shared" si="185"/>
        <v>Good</v>
      </c>
      <c r="AI345" s="100">
        <f t="shared" si="186"/>
        <v>29.020611039999999</v>
      </c>
      <c r="AJ345" s="100">
        <f t="shared" si="187"/>
        <v>47.597012433000003</v>
      </c>
    </row>
    <row r="346" spans="1:36" x14ac:dyDescent="0.2">
      <c r="A346" s="8">
        <v>38.112000000000002</v>
      </c>
      <c r="D346" s="101">
        <v>38112</v>
      </c>
      <c r="E346" s="42">
        <f t="shared" si="159"/>
        <v>422.81365123215073</v>
      </c>
      <c r="F346" s="7">
        <f t="shared" si="160"/>
        <v>1</v>
      </c>
      <c r="G346" s="100">
        <f t="shared" si="161"/>
        <v>29.020611039999999</v>
      </c>
      <c r="H346" s="100">
        <f t="shared" si="162"/>
        <v>47.597012433000003</v>
      </c>
      <c r="I346" s="100">
        <f t="shared" si="163"/>
        <v>29.021713299000002</v>
      </c>
      <c r="J346" s="100">
        <f t="shared" si="164"/>
        <v>47.592834768000003</v>
      </c>
      <c r="K346" s="102">
        <f t="shared" si="165"/>
        <v>38</v>
      </c>
      <c r="L346" s="103">
        <f t="shared" si="166"/>
        <v>3213051.359513483</v>
      </c>
      <c r="M346" s="103">
        <f t="shared" si="167"/>
        <v>752944.81482347567</v>
      </c>
      <c r="N346" s="103">
        <f t="shared" si="168"/>
        <v>3213164.5979102761</v>
      </c>
      <c r="O346" s="103">
        <f t="shared" si="169"/>
        <v>752535.08444905875</v>
      </c>
      <c r="P346" s="105">
        <f t="shared" si="170"/>
        <v>113.23839679313824</v>
      </c>
      <c r="Q346" s="105">
        <f t="shared" si="171"/>
        <v>-409.73037441691849</v>
      </c>
      <c r="R346" s="104">
        <f t="shared" si="172"/>
        <v>425.09047769634691</v>
      </c>
      <c r="S346" s="104" t="str">
        <f t="shared" si="173"/>
        <v>NW</v>
      </c>
      <c r="T346" s="105">
        <f t="shared" si="174"/>
        <v>0.26964219324086519</v>
      </c>
      <c r="U346" s="14">
        <f t="shared" si="175"/>
        <v>-407.53581817864904</v>
      </c>
      <c r="V346" s="14">
        <f t="shared" si="176"/>
        <v>112.63188078746583</v>
      </c>
      <c r="W346" s="103">
        <f t="shared" si="177"/>
        <v>3213163.9913942707</v>
      </c>
      <c r="X346" s="103">
        <f t="shared" si="178"/>
        <v>752537.27900529699</v>
      </c>
      <c r="Y346" s="100">
        <f t="shared" si="179"/>
        <v>29.02170736696733</v>
      </c>
      <c r="Z346" s="100">
        <f t="shared" si="180"/>
        <v>47.592857144506354</v>
      </c>
      <c r="AA346" s="100">
        <f t="shared" si="181"/>
        <v>-1.0963269673318621E-3</v>
      </c>
      <c r="AB346" s="100">
        <f t="shared" si="182"/>
        <v>-5.9320326712963833E-6</v>
      </c>
      <c r="AC346" s="100">
        <f t="shared" si="183"/>
        <v>4.1552884936493228E-3</v>
      </c>
      <c r="AD346" s="100">
        <f t="shared" si="184"/>
        <v>2.2376506350951786E-5</v>
      </c>
      <c r="AE346" s="8" t="str">
        <f t="shared" si="157"/>
        <v>Good</v>
      </c>
      <c r="AF346" s="8" t="str">
        <f t="shared" si="158"/>
        <v>Good</v>
      </c>
      <c r="AG346" s="7" t="str">
        <f t="shared" si="185"/>
        <v>Good</v>
      </c>
      <c r="AI346" s="100">
        <f t="shared" si="186"/>
        <v>29.02170736696733</v>
      </c>
      <c r="AJ346" s="100">
        <f t="shared" si="187"/>
        <v>47.592857144506354</v>
      </c>
    </row>
    <row r="347" spans="1:36" x14ac:dyDescent="0.2">
      <c r="A347" s="8">
        <v>38.113</v>
      </c>
      <c r="B347" s="100">
        <v>29.021713299000002</v>
      </c>
      <c r="C347" s="100">
        <v>47.592834768000003</v>
      </c>
      <c r="D347" s="101">
        <v>38113.196010764834</v>
      </c>
      <c r="E347" s="42" t="str">
        <f t="shared" si="159"/>
        <v/>
      </c>
      <c r="F347" s="7" t="str">
        <f t="shared" si="160"/>
        <v/>
      </c>
      <c r="G347" s="100" t="str">
        <f t="shared" si="161"/>
        <v/>
      </c>
      <c r="H347" s="100" t="str">
        <f t="shared" si="162"/>
        <v/>
      </c>
      <c r="I347" s="100" t="str">
        <f t="shared" si="163"/>
        <v/>
      </c>
      <c r="J347" s="100" t="str">
        <f t="shared" si="164"/>
        <v/>
      </c>
      <c r="K347" s="102" t="str">
        <f t="shared" si="165"/>
        <v/>
      </c>
      <c r="L347" s="103" t="str">
        <f t="shared" si="166"/>
        <v/>
      </c>
      <c r="M347" s="103" t="str">
        <f t="shared" si="167"/>
        <v/>
      </c>
      <c r="N347" s="103" t="str">
        <f t="shared" si="168"/>
        <v/>
      </c>
      <c r="O347" s="103" t="str">
        <f t="shared" si="169"/>
        <v/>
      </c>
      <c r="P347" s="105" t="str">
        <f t="shared" si="170"/>
        <v/>
      </c>
      <c r="Q347" s="105" t="str">
        <f t="shared" si="171"/>
        <v/>
      </c>
      <c r="R347" s="104" t="str">
        <f t="shared" si="172"/>
        <v/>
      </c>
      <c r="S347" s="104" t="str">
        <f t="shared" si="173"/>
        <v/>
      </c>
      <c r="T347" s="105" t="str">
        <f t="shared" si="174"/>
        <v/>
      </c>
      <c r="U347" s="14" t="str">
        <f t="shared" si="175"/>
        <v/>
      </c>
      <c r="V347" s="14" t="str">
        <f t="shared" si="176"/>
        <v/>
      </c>
      <c r="W347" s="103" t="str">
        <f t="shared" si="177"/>
        <v/>
      </c>
      <c r="X347" s="103" t="str">
        <f t="shared" si="178"/>
        <v/>
      </c>
      <c r="Y347" s="100" t="str">
        <f t="shared" si="179"/>
        <v/>
      </c>
      <c r="Z347" s="100" t="str">
        <f t="shared" si="180"/>
        <v/>
      </c>
      <c r="AA347" s="100" t="e">
        <f t="shared" si="181"/>
        <v>#VALUE!</v>
      </c>
      <c r="AB347" s="100" t="e">
        <f t="shared" si="182"/>
        <v>#VALUE!</v>
      </c>
      <c r="AC347" s="100" t="e">
        <f t="shared" si="183"/>
        <v>#VALUE!</v>
      </c>
      <c r="AD347" s="100" t="e">
        <f t="shared" si="184"/>
        <v>#VALUE!</v>
      </c>
      <c r="AE347" s="8" t="str">
        <f t="shared" si="157"/>
        <v/>
      </c>
      <c r="AF347" s="8" t="str">
        <f t="shared" si="158"/>
        <v/>
      </c>
      <c r="AG347" s="7" t="str">
        <f t="shared" si="185"/>
        <v>Good</v>
      </c>
      <c r="AI347" s="100">
        <f t="shared" si="186"/>
        <v>29.021713299000002</v>
      </c>
      <c r="AJ347" s="100">
        <f t="shared" si="187"/>
        <v>47.592834768000003</v>
      </c>
    </row>
    <row r="348" spans="1:36" x14ac:dyDescent="0.2">
      <c r="A348" s="8">
        <v>38.402000000000001</v>
      </c>
      <c r="B348" s="100">
        <v>29.022433792000001</v>
      </c>
      <c r="C348" s="100">
        <v>47.589983672999999</v>
      </c>
      <c r="D348" s="101">
        <v>38401.56433059353</v>
      </c>
      <c r="E348" s="42" t="str">
        <f t="shared" si="159"/>
        <v/>
      </c>
      <c r="F348" s="7" t="str">
        <f t="shared" si="160"/>
        <v/>
      </c>
      <c r="G348" s="100" t="str">
        <f t="shared" si="161"/>
        <v/>
      </c>
      <c r="H348" s="100" t="str">
        <f t="shared" si="162"/>
        <v/>
      </c>
      <c r="I348" s="100" t="str">
        <f t="shared" si="163"/>
        <v/>
      </c>
      <c r="J348" s="100" t="str">
        <f t="shared" si="164"/>
        <v/>
      </c>
      <c r="K348" s="102" t="str">
        <f t="shared" si="165"/>
        <v/>
      </c>
      <c r="L348" s="103" t="str">
        <f t="shared" si="166"/>
        <v/>
      </c>
      <c r="M348" s="103" t="str">
        <f t="shared" si="167"/>
        <v/>
      </c>
      <c r="N348" s="103" t="str">
        <f t="shared" si="168"/>
        <v/>
      </c>
      <c r="O348" s="103" t="str">
        <f t="shared" si="169"/>
        <v/>
      </c>
      <c r="P348" s="105" t="str">
        <f t="shared" si="170"/>
        <v/>
      </c>
      <c r="Q348" s="105" t="str">
        <f t="shared" si="171"/>
        <v/>
      </c>
      <c r="R348" s="104" t="str">
        <f t="shared" si="172"/>
        <v/>
      </c>
      <c r="S348" s="104" t="str">
        <f t="shared" si="173"/>
        <v/>
      </c>
      <c r="T348" s="105" t="str">
        <f t="shared" si="174"/>
        <v/>
      </c>
      <c r="U348" s="14" t="str">
        <f t="shared" si="175"/>
        <v/>
      </c>
      <c r="V348" s="14" t="str">
        <f t="shared" si="176"/>
        <v/>
      </c>
      <c r="W348" s="103" t="str">
        <f t="shared" si="177"/>
        <v/>
      </c>
      <c r="X348" s="103" t="str">
        <f t="shared" si="178"/>
        <v/>
      </c>
      <c r="Y348" s="100" t="str">
        <f t="shared" si="179"/>
        <v/>
      </c>
      <c r="Z348" s="100" t="str">
        <f t="shared" si="180"/>
        <v/>
      </c>
      <c r="AA348" s="100" t="e">
        <f t="shared" si="181"/>
        <v>#VALUE!</v>
      </c>
      <c r="AB348" s="100" t="e">
        <f t="shared" si="182"/>
        <v>#VALUE!</v>
      </c>
      <c r="AC348" s="100" t="e">
        <f t="shared" si="183"/>
        <v>#VALUE!</v>
      </c>
      <c r="AD348" s="100" t="e">
        <f t="shared" si="184"/>
        <v>#VALUE!</v>
      </c>
      <c r="AE348" s="8" t="str">
        <f t="shared" si="157"/>
        <v/>
      </c>
      <c r="AF348" s="8" t="str">
        <f t="shared" si="158"/>
        <v/>
      </c>
      <c r="AG348" s="7" t="str">
        <f t="shared" si="185"/>
        <v>Good</v>
      </c>
      <c r="AI348" s="100">
        <f t="shared" si="186"/>
        <v>29.022433792000001</v>
      </c>
      <c r="AJ348" s="100">
        <f t="shared" si="187"/>
        <v>47.589983672999999</v>
      </c>
    </row>
    <row r="349" spans="1:36" x14ac:dyDescent="0.2">
      <c r="A349" s="8">
        <v>38.566000000000003</v>
      </c>
      <c r="B349" s="100">
        <v>29.022852121</v>
      </c>
      <c r="C349" s="100">
        <v>47.588362441999998</v>
      </c>
      <c r="D349" s="101">
        <v>38565.80859156057</v>
      </c>
      <c r="E349" s="42" t="str">
        <f t="shared" si="159"/>
        <v/>
      </c>
      <c r="F349" s="7" t="str">
        <f t="shared" si="160"/>
        <v/>
      </c>
      <c r="G349" s="100" t="str">
        <f t="shared" si="161"/>
        <v/>
      </c>
      <c r="H349" s="100" t="str">
        <f t="shared" si="162"/>
        <v/>
      </c>
      <c r="I349" s="100" t="str">
        <f t="shared" si="163"/>
        <v/>
      </c>
      <c r="J349" s="100" t="str">
        <f t="shared" si="164"/>
        <v/>
      </c>
      <c r="K349" s="102" t="str">
        <f t="shared" si="165"/>
        <v/>
      </c>
      <c r="L349" s="103" t="str">
        <f t="shared" si="166"/>
        <v/>
      </c>
      <c r="M349" s="103" t="str">
        <f t="shared" si="167"/>
        <v/>
      </c>
      <c r="N349" s="103" t="str">
        <f t="shared" si="168"/>
        <v/>
      </c>
      <c r="O349" s="103" t="str">
        <f t="shared" si="169"/>
        <v/>
      </c>
      <c r="P349" s="105" t="str">
        <f t="shared" si="170"/>
        <v/>
      </c>
      <c r="Q349" s="105" t="str">
        <f t="shared" si="171"/>
        <v/>
      </c>
      <c r="R349" s="104" t="str">
        <f t="shared" si="172"/>
        <v/>
      </c>
      <c r="S349" s="104" t="str">
        <f t="shared" si="173"/>
        <v/>
      </c>
      <c r="T349" s="105" t="str">
        <f t="shared" si="174"/>
        <v/>
      </c>
      <c r="U349" s="14" t="str">
        <f t="shared" si="175"/>
        <v/>
      </c>
      <c r="V349" s="14" t="str">
        <f t="shared" si="176"/>
        <v/>
      </c>
      <c r="W349" s="103" t="str">
        <f t="shared" si="177"/>
        <v/>
      </c>
      <c r="X349" s="103" t="str">
        <f t="shared" si="178"/>
        <v/>
      </c>
      <c r="Y349" s="100" t="str">
        <f t="shared" si="179"/>
        <v/>
      </c>
      <c r="Z349" s="100" t="str">
        <f t="shared" si="180"/>
        <v/>
      </c>
      <c r="AA349" s="100" t="e">
        <f t="shared" si="181"/>
        <v>#VALUE!</v>
      </c>
      <c r="AB349" s="100" t="e">
        <f t="shared" si="182"/>
        <v>#VALUE!</v>
      </c>
      <c r="AC349" s="100" t="e">
        <f t="shared" si="183"/>
        <v>#VALUE!</v>
      </c>
      <c r="AD349" s="100" t="e">
        <f t="shared" si="184"/>
        <v>#VALUE!</v>
      </c>
      <c r="AE349" s="8" t="str">
        <f t="shared" si="157"/>
        <v/>
      </c>
      <c r="AF349" s="8" t="str">
        <f t="shared" si="158"/>
        <v/>
      </c>
      <c r="AG349" s="7" t="str">
        <f t="shared" si="185"/>
        <v>Good</v>
      </c>
      <c r="AI349" s="100">
        <f t="shared" si="186"/>
        <v>29.022852121</v>
      </c>
      <c r="AJ349" s="100">
        <f t="shared" si="187"/>
        <v>47.588362441999998</v>
      </c>
    </row>
    <row r="350" spans="1:36" x14ac:dyDescent="0.2">
      <c r="A350" s="8">
        <v>38.616</v>
      </c>
      <c r="B350" s="100">
        <v>29.022987497999999</v>
      </c>
      <c r="C350" s="100">
        <v>47.587868438999998</v>
      </c>
      <c r="D350" s="101">
        <v>38616.110855491403</v>
      </c>
      <c r="E350" s="42" t="str">
        <f t="shared" si="159"/>
        <v/>
      </c>
      <c r="F350" s="7" t="str">
        <f t="shared" si="160"/>
        <v/>
      </c>
      <c r="G350" s="100" t="str">
        <f t="shared" si="161"/>
        <v/>
      </c>
      <c r="H350" s="100" t="str">
        <f t="shared" si="162"/>
        <v/>
      </c>
      <c r="I350" s="100" t="str">
        <f t="shared" si="163"/>
        <v/>
      </c>
      <c r="J350" s="100" t="str">
        <f t="shared" si="164"/>
        <v/>
      </c>
      <c r="K350" s="102" t="str">
        <f t="shared" si="165"/>
        <v/>
      </c>
      <c r="L350" s="103" t="str">
        <f t="shared" si="166"/>
        <v/>
      </c>
      <c r="M350" s="103" t="str">
        <f t="shared" si="167"/>
        <v/>
      </c>
      <c r="N350" s="103" t="str">
        <f t="shared" si="168"/>
        <v/>
      </c>
      <c r="O350" s="103" t="str">
        <f t="shared" si="169"/>
        <v/>
      </c>
      <c r="P350" s="105" t="str">
        <f t="shared" si="170"/>
        <v/>
      </c>
      <c r="Q350" s="105" t="str">
        <f t="shared" si="171"/>
        <v/>
      </c>
      <c r="R350" s="104" t="str">
        <f t="shared" si="172"/>
        <v/>
      </c>
      <c r="S350" s="104" t="str">
        <f t="shared" si="173"/>
        <v/>
      </c>
      <c r="T350" s="105" t="str">
        <f t="shared" si="174"/>
        <v/>
      </c>
      <c r="U350" s="14" t="str">
        <f t="shared" si="175"/>
        <v/>
      </c>
      <c r="V350" s="14" t="str">
        <f t="shared" si="176"/>
        <v/>
      </c>
      <c r="W350" s="103" t="str">
        <f t="shared" si="177"/>
        <v/>
      </c>
      <c r="X350" s="103" t="str">
        <f t="shared" si="178"/>
        <v/>
      </c>
      <c r="Y350" s="100" t="str">
        <f t="shared" si="179"/>
        <v/>
      </c>
      <c r="Z350" s="100" t="str">
        <f t="shared" si="180"/>
        <v/>
      </c>
      <c r="AA350" s="100" t="e">
        <f t="shared" si="181"/>
        <v>#VALUE!</v>
      </c>
      <c r="AB350" s="100" t="e">
        <f t="shared" si="182"/>
        <v>#VALUE!</v>
      </c>
      <c r="AC350" s="100" t="e">
        <f t="shared" si="183"/>
        <v>#VALUE!</v>
      </c>
      <c r="AD350" s="100" t="e">
        <f t="shared" si="184"/>
        <v>#VALUE!</v>
      </c>
      <c r="AE350" s="8" t="str">
        <f t="shared" si="157"/>
        <v/>
      </c>
      <c r="AF350" s="8" t="str">
        <f t="shared" si="158"/>
        <v/>
      </c>
      <c r="AG350" s="7" t="str">
        <f t="shared" si="185"/>
        <v>Good</v>
      </c>
      <c r="AI350" s="100">
        <f t="shared" si="186"/>
        <v>29.022987497999999</v>
      </c>
      <c r="AJ350" s="100">
        <f t="shared" si="187"/>
        <v>47.587868438999998</v>
      </c>
    </row>
    <row r="351" spans="1:36" x14ac:dyDescent="0.2">
      <c r="A351" s="8">
        <v>38.752000000000002</v>
      </c>
      <c r="B351" s="100">
        <v>29.023320772999998</v>
      </c>
      <c r="C351" s="100">
        <v>47.586527277999998</v>
      </c>
      <c r="D351" s="101">
        <v>38751.585723049815</v>
      </c>
      <c r="E351" s="42" t="str">
        <f t="shared" si="159"/>
        <v/>
      </c>
      <c r="F351" s="7" t="str">
        <f t="shared" si="160"/>
        <v/>
      </c>
      <c r="G351" s="100" t="str">
        <f t="shared" si="161"/>
        <v/>
      </c>
      <c r="H351" s="100" t="str">
        <f t="shared" si="162"/>
        <v/>
      </c>
      <c r="I351" s="100" t="str">
        <f t="shared" si="163"/>
        <v/>
      </c>
      <c r="J351" s="100" t="str">
        <f t="shared" si="164"/>
        <v/>
      </c>
      <c r="K351" s="102" t="str">
        <f t="shared" si="165"/>
        <v/>
      </c>
      <c r="L351" s="103" t="str">
        <f t="shared" si="166"/>
        <v/>
      </c>
      <c r="M351" s="103" t="str">
        <f t="shared" si="167"/>
        <v/>
      </c>
      <c r="N351" s="103" t="str">
        <f t="shared" si="168"/>
        <v/>
      </c>
      <c r="O351" s="103" t="str">
        <f t="shared" si="169"/>
        <v/>
      </c>
      <c r="P351" s="105" t="str">
        <f t="shared" si="170"/>
        <v/>
      </c>
      <c r="Q351" s="105" t="str">
        <f t="shared" si="171"/>
        <v/>
      </c>
      <c r="R351" s="104" t="str">
        <f t="shared" si="172"/>
        <v/>
      </c>
      <c r="S351" s="104" t="str">
        <f t="shared" si="173"/>
        <v/>
      </c>
      <c r="T351" s="105" t="str">
        <f t="shared" si="174"/>
        <v/>
      </c>
      <c r="U351" s="14" t="str">
        <f t="shared" si="175"/>
        <v/>
      </c>
      <c r="V351" s="14" t="str">
        <f t="shared" si="176"/>
        <v/>
      </c>
      <c r="W351" s="103" t="str">
        <f t="shared" si="177"/>
        <v/>
      </c>
      <c r="X351" s="103" t="str">
        <f t="shared" si="178"/>
        <v/>
      </c>
      <c r="Y351" s="100" t="str">
        <f t="shared" si="179"/>
        <v/>
      </c>
      <c r="Z351" s="100" t="str">
        <f t="shared" si="180"/>
        <v/>
      </c>
      <c r="AA351" s="100" t="e">
        <f t="shared" si="181"/>
        <v>#VALUE!</v>
      </c>
      <c r="AB351" s="100" t="e">
        <f t="shared" si="182"/>
        <v>#VALUE!</v>
      </c>
      <c r="AC351" s="100" t="e">
        <f t="shared" si="183"/>
        <v>#VALUE!</v>
      </c>
      <c r="AD351" s="100" t="e">
        <f t="shared" si="184"/>
        <v>#VALUE!</v>
      </c>
      <c r="AE351" s="8" t="str">
        <f t="shared" si="157"/>
        <v/>
      </c>
      <c r="AF351" s="8" t="str">
        <f t="shared" si="158"/>
        <v/>
      </c>
      <c r="AG351" s="7" t="str">
        <f t="shared" si="185"/>
        <v>Good</v>
      </c>
      <c r="AI351" s="100">
        <f t="shared" si="186"/>
        <v>29.023320772999998</v>
      </c>
      <c r="AJ351" s="100">
        <f t="shared" si="187"/>
        <v>47.586527277999998</v>
      </c>
    </row>
    <row r="352" spans="1:36" x14ac:dyDescent="0.2">
      <c r="A352" s="8">
        <v>38.863</v>
      </c>
      <c r="D352" s="101">
        <v>38863</v>
      </c>
      <c r="E352" s="42">
        <f t="shared" si="159"/>
        <v>111.41427695018501</v>
      </c>
      <c r="F352" s="7">
        <f t="shared" si="160"/>
        <v>1</v>
      </c>
      <c r="G352" s="100">
        <f t="shared" si="161"/>
        <v>29.023320772999998</v>
      </c>
      <c r="H352" s="100">
        <f t="shared" si="162"/>
        <v>47.586527277999998</v>
      </c>
      <c r="I352" s="100">
        <f t="shared" si="163"/>
        <v>29.023604228</v>
      </c>
      <c r="J352" s="100">
        <f t="shared" si="164"/>
        <v>47.585412792</v>
      </c>
      <c r="K352" s="102">
        <f t="shared" si="165"/>
        <v>38</v>
      </c>
      <c r="L352" s="103">
        <f t="shared" si="166"/>
        <v>3213329.3045622646</v>
      </c>
      <c r="M352" s="103">
        <f t="shared" si="167"/>
        <v>751916.62392838323</v>
      </c>
      <c r="N352" s="103">
        <f t="shared" si="168"/>
        <v>3213358.3467363664</v>
      </c>
      <c r="O352" s="103">
        <f t="shared" si="169"/>
        <v>751807.35013669322</v>
      </c>
      <c r="P352" s="105">
        <f t="shared" si="170"/>
        <v>29.042174101807177</v>
      </c>
      <c r="Q352" s="105">
        <f t="shared" si="171"/>
        <v>-109.27379169000778</v>
      </c>
      <c r="R352" s="104">
        <f t="shared" si="172"/>
        <v>113.06727832078958</v>
      </c>
      <c r="S352" s="104" t="str">
        <f t="shared" si="173"/>
        <v>NW</v>
      </c>
      <c r="T352" s="105">
        <f t="shared" si="174"/>
        <v>0.25976915797027339</v>
      </c>
      <c r="U352" s="14">
        <f t="shared" si="175"/>
        <v>-107.67624967681573</v>
      </c>
      <c r="V352" s="14">
        <f t="shared" si="176"/>
        <v>28.617588365698619</v>
      </c>
      <c r="W352" s="103">
        <f t="shared" si="177"/>
        <v>3213357.9221506305</v>
      </c>
      <c r="X352" s="103">
        <f t="shared" si="178"/>
        <v>751808.94767870638</v>
      </c>
      <c r="Y352" s="100">
        <f t="shared" si="179"/>
        <v>29.023600055396873</v>
      </c>
      <c r="Z352" s="100">
        <f t="shared" si="180"/>
        <v>47.585429085656898</v>
      </c>
      <c r="AA352" s="100">
        <f t="shared" si="181"/>
        <v>-2.7928239687469159E-4</v>
      </c>
      <c r="AB352" s="100">
        <f t="shared" si="182"/>
        <v>-4.1726031270172825E-6</v>
      </c>
      <c r="AC352" s="100">
        <f t="shared" si="183"/>
        <v>1.0981923431003793E-3</v>
      </c>
      <c r="AD352" s="100">
        <f t="shared" si="184"/>
        <v>1.6293656898369591E-5</v>
      </c>
      <c r="AE352" s="8" t="str">
        <f t="shared" si="157"/>
        <v>Good</v>
      </c>
      <c r="AF352" s="8" t="str">
        <f t="shared" si="158"/>
        <v>Good</v>
      </c>
      <c r="AG352" s="7" t="str">
        <f t="shared" si="185"/>
        <v>Good</v>
      </c>
      <c r="AI352" s="100">
        <f t="shared" si="186"/>
        <v>29.023600055396873</v>
      </c>
      <c r="AJ352" s="100">
        <f t="shared" si="187"/>
        <v>47.585429085656898</v>
      </c>
    </row>
    <row r="353" spans="1:36" x14ac:dyDescent="0.2">
      <c r="A353" s="8">
        <v>38.863999999999997</v>
      </c>
      <c r="B353" s="100">
        <v>29.023604228</v>
      </c>
      <c r="C353" s="100">
        <v>47.585412792</v>
      </c>
      <c r="D353" s="101">
        <v>38864.363002245489</v>
      </c>
      <c r="E353" s="42" t="str">
        <f t="shared" si="159"/>
        <v/>
      </c>
      <c r="F353" s="7" t="str">
        <f t="shared" si="160"/>
        <v/>
      </c>
      <c r="G353" s="100" t="str">
        <f t="shared" si="161"/>
        <v/>
      </c>
      <c r="H353" s="100" t="str">
        <f t="shared" si="162"/>
        <v/>
      </c>
      <c r="I353" s="100" t="str">
        <f t="shared" si="163"/>
        <v/>
      </c>
      <c r="J353" s="100" t="str">
        <f t="shared" si="164"/>
        <v/>
      </c>
      <c r="K353" s="102" t="str">
        <f t="shared" si="165"/>
        <v/>
      </c>
      <c r="L353" s="103" t="str">
        <f t="shared" si="166"/>
        <v/>
      </c>
      <c r="M353" s="103" t="str">
        <f t="shared" si="167"/>
        <v/>
      </c>
      <c r="N353" s="103" t="str">
        <f t="shared" si="168"/>
        <v/>
      </c>
      <c r="O353" s="103" t="str">
        <f t="shared" si="169"/>
        <v/>
      </c>
      <c r="P353" s="105" t="str">
        <f t="shared" si="170"/>
        <v/>
      </c>
      <c r="Q353" s="105" t="str">
        <f t="shared" si="171"/>
        <v/>
      </c>
      <c r="R353" s="104" t="str">
        <f t="shared" si="172"/>
        <v/>
      </c>
      <c r="S353" s="104" t="str">
        <f t="shared" si="173"/>
        <v/>
      </c>
      <c r="T353" s="105" t="str">
        <f t="shared" si="174"/>
        <v/>
      </c>
      <c r="U353" s="14" t="str">
        <f t="shared" si="175"/>
        <v/>
      </c>
      <c r="V353" s="14" t="str">
        <f t="shared" si="176"/>
        <v/>
      </c>
      <c r="W353" s="103" t="str">
        <f t="shared" si="177"/>
        <v/>
      </c>
      <c r="X353" s="103" t="str">
        <f t="shared" si="178"/>
        <v/>
      </c>
      <c r="Y353" s="100" t="str">
        <f t="shared" si="179"/>
        <v/>
      </c>
      <c r="Z353" s="100" t="str">
        <f t="shared" si="180"/>
        <v/>
      </c>
      <c r="AA353" s="100" t="e">
        <f t="shared" si="181"/>
        <v>#VALUE!</v>
      </c>
      <c r="AB353" s="100" t="e">
        <f t="shared" si="182"/>
        <v>#VALUE!</v>
      </c>
      <c r="AC353" s="100" t="e">
        <f t="shared" si="183"/>
        <v>#VALUE!</v>
      </c>
      <c r="AD353" s="100" t="e">
        <f t="shared" si="184"/>
        <v>#VALUE!</v>
      </c>
      <c r="AE353" s="8" t="str">
        <f t="shared" si="157"/>
        <v/>
      </c>
      <c r="AF353" s="8" t="str">
        <f t="shared" si="158"/>
        <v/>
      </c>
      <c r="AG353" s="7" t="str">
        <f t="shared" si="185"/>
        <v>Good</v>
      </c>
      <c r="AI353" s="100">
        <f t="shared" si="186"/>
        <v>29.023604228</v>
      </c>
      <c r="AJ353" s="100">
        <f t="shared" si="187"/>
        <v>47.585412792</v>
      </c>
    </row>
    <row r="354" spans="1:36" x14ac:dyDescent="0.2">
      <c r="A354" s="8">
        <v>38.975999999999999</v>
      </c>
      <c r="B354" s="100">
        <v>29.023892092000001</v>
      </c>
      <c r="C354" s="100">
        <v>47.584308213</v>
      </c>
      <c r="D354" s="101">
        <v>38976.354950148554</v>
      </c>
      <c r="E354" s="42" t="str">
        <f t="shared" si="159"/>
        <v/>
      </c>
      <c r="F354" s="7" t="str">
        <f t="shared" si="160"/>
        <v/>
      </c>
      <c r="G354" s="100" t="str">
        <f t="shared" si="161"/>
        <v/>
      </c>
      <c r="H354" s="100" t="str">
        <f t="shared" si="162"/>
        <v/>
      </c>
      <c r="I354" s="100" t="str">
        <f t="shared" si="163"/>
        <v/>
      </c>
      <c r="J354" s="100" t="str">
        <f t="shared" si="164"/>
        <v/>
      </c>
      <c r="K354" s="102" t="str">
        <f t="shared" si="165"/>
        <v/>
      </c>
      <c r="L354" s="103" t="str">
        <f t="shared" si="166"/>
        <v/>
      </c>
      <c r="M354" s="103" t="str">
        <f t="shared" si="167"/>
        <v/>
      </c>
      <c r="N354" s="103" t="str">
        <f t="shared" si="168"/>
        <v/>
      </c>
      <c r="O354" s="103" t="str">
        <f t="shared" si="169"/>
        <v/>
      </c>
      <c r="P354" s="105" t="str">
        <f t="shared" si="170"/>
        <v/>
      </c>
      <c r="Q354" s="105" t="str">
        <f t="shared" si="171"/>
        <v/>
      </c>
      <c r="R354" s="104" t="str">
        <f t="shared" si="172"/>
        <v/>
      </c>
      <c r="S354" s="104" t="str">
        <f t="shared" si="173"/>
        <v/>
      </c>
      <c r="T354" s="105" t="str">
        <f t="shared" si="174"/>
        <v/>
      </c>
      <c r="U354" s="14" t="str">
        <f t="shared" si="175"/>
        <v/>
      </c>
      <c r="V354" s="14" t="str">
        <f t="shared" si="176"/>
        <v/>
      </c>
      <c r="W354" s="103" t="str">
        <f t="shared" si="177"/>
        <v/>
      </c>
      <c r="X354" s="103" t="str">
        <f t="shared" si="178"/>
        <v/>
      </c>
      <c r="Y354" s="100" t="str">
        <f t="shared" si="179"/>
        <v/>
      </c>
      <c r="Z354" s="100" t="str">
        <f t="shared" si="180"/>
        <v/>
      </c>
      <c r="AA354" s="100" t="e">
        <f t="shared" si="181"/>
        <v>#VALUE!</v>
      </c>
      <c r="AB354" s="100" t="e">
        <f t="shared" si="182"/>
        <v>#VALUE!</v>
      </c>
      <c r="AC354" s="100" t="e">
        <f t="shared" si="183"/>
        <v>#VALUE!</v>
      </c>
      <c r="AD354" s="100" t="e">
        <f t="shared" si="184"/>
        <v>#VALUE!</v>
      </c>
      <c r="AE354" s="8" t="str">
        <f t="shared" si="157"/>
        <v/>
      </c>
      <c r="AF354" s="8" t="str">
        <f t="shared" si="158"/>
        <v/>
      </c>
      <c r="AG354" s="7" t="str">
        <f t="shared" si="185"/>
        <v>Good</v>
      </c>
      <c r="AI354" s="100">
        <f t="shared" si="186"/>
        <v>29.023892092000001</v>
      </c>
      <c r="AJ354" s="100">
        <f t="shared" si="187"/>
        <v>47.584308213</v>
      </c>
    </row>
    <row r="355" spans="1:36" x14ac:dyDescent="0.2">
      <c r="A355" s="8">
        <v>38.976999999999997</v>
      </c>
      <c r="B355" s="100">
        <v>29.023892117999999</v>
      </c>
      <c r="C355" s="100">
        <v>47.584302125999997</v>
      </c>
      <c r="D355" s="101">
        <v>38976.947419976525</v>
      </c>
      <c r="E355" s="42" t="str">
        <f t="shared" si="159"/>
        <v/>
      </c>
      <c r="F355" s="7" t="str">
        <f t="shared" si="160"/>
        <v/>
      </c>
      <c r="G355" s="100" t="str">
        <f t="shared" si="161"/>
        <v/>
      </c>
      <c r="H355" s="100" t="str">
        <f t="shared" si="162"/>
        <v/>
      </c>
      <c r="I355" s="100" t="str">
        <f t="shared" si="163"/>
        <v/>
      </c>
      <c r="J355" s="100" t="str">
        <f t="shared" si="164"/>
        <v/>
      </c>
      <c r="K355" s="102" t="str">
        <f t="shared" si="165"/>
        <v/>
      </c>
      <c r="L355" s="103" t="str">
        <f t="shared" si="166"/>
        <v/>
      </c>
      <c r="M355" s="103" t="str">
        <f t="shared" si="167"/>
        <v/>
      </c>
      <c r="N355" s="103" t="str">
        <f t="shared" si="168"/>
        <v/>
      </c>
      <c r="O355" s="103" t="str">
        <f t="shared" si="169"/>
        <v/>
      </c>
      <c r="P355" s="105" t="str">
        <f t="shared" si="170"/>
        <v/>
      </c>
      <c r="Q355" s="105" t="str">
        <f t="shared" si="171"/>
        <v/>
      </c>
      <c r="R355" s="104" t="str">
        <f t="shared" si="172"/>
        <v/>
      </c>
      <c r="S355" s="104" t="str">
        <f t="shared" si="173"/>
        <v/>
      </c>
      <c r="T355" s="105" t="str">
        <f t="shared" si="174"/>
        <v/>
      </c>
      <c r="U355" s="14" t="str">
        <f t="shared" si="175"/>
        <v/>
      </c>
      <c r="V355" s="14" t="str">
        <f t="shared" si="176"/>
        <v/>
      </c>
      <c r="W355" s="103" t="str">
        <f t="shared" si="177"/>
        <v/>
      </c>
      <c r="X355" s="103" t="str">
        <f t="shared" si="178"/>
        <v/>
      </c>
      <c r="Y355" s="100" t="str">
        <f t="shared" si="179"/>
        <v/>
      </c>
      <c r="Z355" s="100" t="str">
        <f t="shared" si="180"/>
        <v/>
      </c>
      <c r="AA355" s="100" t="e">
        <f t="shared" si="181"/>
        <v>#VALUE!</v>
      </c>
      <c r="AB355" s="100" t="e">
        <f t="shared" si="182"/>
        <v>#VALUE!</v>
      </c>
      <c r="AC355" s="100" t="e">
        <f t="shared" si="183"/>
        <v>#VALUE!</v>
      </c>
      <c r="AD355" s="100" t="e">
        <f t="shared" si="184"/>
        <v>#VALUE!</v>
      </c>
      <c r="AE355" s="8" t="str">
        <f t="shared" si="157"/>
        <v/>
      </c>
      <c r="AF355" s="8" t="str">
        <f t="shared" si="158"/>
        <v/>
      </c>
      <c r="AG355" s="7" t="str">
        <f t="shared" si="185"/>
        <v>Good</v>
      </c>
      <c r="AI355" s="100">
        <f t="shared" si="186"/>
        <v>29.023892117999999</v>
      </c>
      <c r="AJ355" s="100">
        <f t="shared" si="187"/>
        <v>47.584302125999997</v>
      </c>
    </row>
    <row r="356" spans="1:36" x14ac:dyDescent="0.2">
      <c r="A356" s="8">
        <v>39.054000000000002</v>
      </c>
      <c r="B356" s="100">
        <v>29.024090467000001</v>
      </c>
      <c r="C356" s="100">
        <v>47.583541615999998</v>
      </c>
      <c r="D356" s="101">
        <v>39054.05924285137</v>
      </c>
      <c r="E356" s="42" t="str">
        <f t="shared" si="159"/>
        <v/>
      </c>
      <c r="F356" s="7" t="str">
        <f t="shared" si="160"/>
        <v/>
      </c>
      <c r="G356" s="100" t="str">
        <f t="shared" si="161"/>
        <v/>
      </c>
      <c r="H356" s="100" t="str">
        <f t="shared" si="162"/>
        <v/>
      </c>
      <c r="I356" s="100" t="str">
        <f t="shared" si="163"/>
        <v/>
      </c>
      <c r="J356" s="100" t="str">
        <f t="shared" si="164"/>
        <v/>
      </c>
      <c r="K356" s="102" t="str">
        <f t="shared" si="165"/>
        <v/>
      </c>
      <c r="L356" s="103" t="str">
        <f t="shared" si="166"/>
        <v/>
      </c>
      <c r="M356" s="103" t="str">
        <f t="shared" si="167"/>
        <v/>
      </c>
      <c r="N356" s="103" t="str">
        <f t="shared" si="168"/>
        <v/>
      </c>
      <c r="O356" s="103" t="str">
        <f t="shared" si="169"/>
        <v/>
      </c>
      <c r="P356" s="105" t="str">
        <f t="shared" si="170"/>
        <v/>
      </c>
      <c r="Q356" s="105" t="str">
        <f t="shared" si="171"/>
        <v/>
      </c>
      <c r="R356" s="104" t="str">
        <f t="shared" si="172"/>
        <v/>
      </c>
      <c r="S356" s="104" t="str">
        <f t="shared" si="173"/>
        <v/>
      </c>
      <c r="T356" s="105" t="str">
        <f t="shared" si="174"/>
        <v/>
      </c>
      <c r="U356" s="14" t="str">
        <f t="shared" si="175"/>
        <v/>
      </c>
      <c r="V356" s="14" t="str">
        <f t="shared" si="176"/>
        <v/>
      </c>
      <c r="W356" s="103" t="str">
        <f t="shared" si="177"/>
        <v/>
      </c>
      <c r="X356" s="103" t="str">
        <f t="shared" si="178"/>
        <v/>
      </c>
      <c r="Y356" s="100" t="str">
        <f t="shared" si="179"/>
        <v/>
      </c>
      <c r="Z356" s="100" t="str">
        <f t="shared" si="180"/>
        <v/>
      </c>
      <c r="AA356" s="100" t="e">
        <f t="shared" si="181"/>
        <v>#VALUE!</v>
      </c>
      <c r="AB356" s="100" t="e">
        <f t="shared" si="182"/>
        <v>#VALUE!</v>
      </c>
      <c r="AC356" s="100" t="e">
        <f t="shared" si="183"/>
        <v>#VALUE!</v>
      </c>
      <c r="AD356" s="100" t="e">
        <f t="shared" si="184"/>
        <v>#VALUE!</v>
      </c>
      <c r="AE356" s="8" t="str">
        <f t="shared" si="157"/>
        <v/>
      </c>
      <c r="AF356" s="8" t="str">
        <f t="shared" si="158"/>
        <v/>
      </c>
      <c r="AG356" s="7" t="str">
        <f t="shared" si="185"/>
        <v>Good</v>
      </c>
      <c r="AI356" s="100">
        <f t="shared" si="186"/>
        <v>29.024090467000001</v>
      </c>
      <c r="AJ356" s="100">
        <f t="shared" si="187"/>
        <v>47.583541615999998</v>
      </c>
    </row>
    <row r="357" spans="1:36" x14ac:dyDescent="0.2">
      <c r="A357" s="8">
        <v>39.055999999999997</v>
      </c>
      <c r="B357" s="100">
        <v>29.024086404999998</v>
      </c>
      <c r="C357" s="100">
        <v>47.583523587999998</v>
      </c>
      <c r="D357" s="101">
        <v>39055.866780067059</v>
      </c>
      <c r="E357" s="42" t="str">
        <f t="shared" si="159"/>
        <v/>
      </c>
      <c r="F357" s="7" t="str">
        <f t="shared" si="160"/>
        <v/>
      </c>
      <c r="G357" s="100" t="str">
        <f t="shared" si="161"/>
        <v/>
      </c>
      <c r="H357" s="100" t="str">
        <f t="shared" si="162"/>
        <v/>
      </c>
      <c r="I357" s="100" t="str">
        <f t="shared" si="163"/>
        <v/>
      </c>
      <c r="J357" s="100" t="str">
        <f t="shared" si="164"/>
        <v/>
      </c>
      <c r="K357" s="102" t="str">
        <f t="shared" si="165"/>
        <v/>
      </c>
      <c r="L357" s="103" t="str">
        <f t="shared" si="166"/>
        <v/>
      </c>
      <c r="M357" s="103" t="str">
        <f t="shared" si="167"/>
        <v/>
      </c>
      <c r="N357" s="103" t="str">
        <f t="shared" si="168"/>
        <v/>
      </c>
      <c r="O357" s="103" t="str">
        <f t="shared" si="169"/>
        <v/>
      </c>
      <c r="P357" s="105" t="str">
        <f t="shared" si="170"/>
        <v/>
      </c>
      <c r="Q357" s="105" t="str">
        <f t="shared" si="171"/>
        <v/>
      </c>
      <c r="R357" s="104" t="str">
        <f t="shared" si="172"/>
        <v/>
      </c>
      <c r="S357" s="104" t="str">
        <f t="shared" si="173"/>
        <v/>
      </c>
      <c r="T357" s="105" t="str">
        <f t="shared" si="174"/>
        <v/>
      </c>
      <c r="U357" s="14" t="str">
        <f t="shared" si="175"/>
        <v/>
      </c>
      <c r="V357" s="14" t="str">
        <f t="shared" si="176"/>
        <v/>
      </c>
      <c r="W357" s="103" t="str">
        <f t="shared" si="177"/>
        <v/>
      </c>
      <c r="X357" s="103" t="str">
        <f t="shared" si="178"/>
        <v/>
      </c>
      <c r="Y357" s="100" t="str">
        <f t="shared" si="179"/>
        <v/>
      </c>
      <c r="Z357" s="100" t="str">
        <f t="shared" si="180"/>
        <v/>
      </c>
      <c r="AA357" s="100" t="e">
        <f t="shared" si="181"/>
        <v>#VALUE!</v>
      </c>
      <c r="AB357" s="100" t="e">
        <f t="shared" si="182"/>
        <v>#VALUE!</v>
      </c>
      <c r="AC357" s="100" t="e">
        <f t="shared" si="183"/>
        <v>#VALUE!</v>
      </c>
      <c r="AD357" s="100" t="e">
        <f t="shared" si="184"/>
        <v>#VALUE!</v>
      </c>
      <c r="AE357" s="8" t="str">
        <f t="shared" si="157"/>
        <v/>
      </c>
      <c r="AF357" s="8" t="str">
        <f t="shared" si="158"/>
        <v/>
      </c>
      <c r="AG357" s="7" t="str">
        <f t="shared" si="185"/>
        <v>Good</v>
      </c>
      <c r="AI357" s="100">
        <f t="shared" si="186"/>
        <v>29.024086404999998</v>
      </c>
      <c r="AJ357" s="100">
        <f t="shared" si="187"/>
        <v>47.583523587999998</v>
      </c>
    </row>
    <row r="358" spans="1:36" x14ac:dyDescent="0.2">
      <c r="A358" s="8">
        <v>39.148000000000003</v>
      </c>
      <c r="B358" s="100">
        <v>29.024318313999999</v>
      </c>
      <c r="C358" s="100">
        <v>47.582616973999997</v>
      </c>
      <c r="D358" s="101">
        <v>39147.649555791475</v>
      </c>
      <c r="E358" s="42" t="str">
        <f t="shared" si="159"/>
        <v/>
      </c>
      <c r="F358" s="7" t="str">
        <f t="shared" si="160"/>
        <v/>
      </c>
      <c r="G358" s="100" t="str">
        <f t="shared" si="161"/>
        <v/>
      </c>
      <c r="H358" s="100" t="str">
        <f t="shared" si="162"/>
        <v/>
      </c>
      <c r="I358" s="100" t="str">
        <f t="shared" si="163"/>
        <v/>
      </c>
      <c r="J358" s="100" t="str">
        <f t="shared" si="164"/>
        <v/>
      </c>
      <c r="K358" s="102" t="str">
        <f t="shared" si="165"/>
        <v/>
      </c>
      <c r="L358" s="103" t="str">
        <f t="shared" si="166"/>
        <v/>
      </c>
      <c r="M358" s="103" t="str">
        <f t="shared" si="167"/>
        <v/>
      </c>
      <c r="N358" s="103" t="str">
        <f t="shared" si="168"/>
        <v/>
      </c>
      <c r="O358" s="103" t="str">
        <f t="shared" si="169"/>
        <v/>
      </c>
      <c r="P358" s="105" t="str">
        <f t="shared" si="170"/>
        <v/>
      </c>
      <c r="Q358" s="105" t="str">
        <f t="shared" si="171"/>
        <v/>
      </c>
      <c r="R358" s="104" t="str">
        <f t="shared" si="172"/>
        <v/>
      </c>
      <c r="S358" s="104" t="str">
        <f t="shared" si="173"/>
        <v/>
      </c>
      <c r="T358" s="105" t="str">
        <f t="shared" si="174"/>
        <v/>
      </c>
      <c r="U358" s="14" t="str">
        <f t="shared" si="175"/>
        <v/>
      </c>
      <c r="V358" s="14" t="str">
        <f t="shared" si="176"/>
        <v/>
      </c>
      <c r="W358" s="103" t="str">
        <f t="shared" si="177"/>
        <v/>
      </c>
      <c r="X358" s="103" t="str">
        <f t="shared" si="178"/>
        <v/>
      </c>
      <c r="Y358" s="100" t="str">
        <f t="shared" si="179"/>
        <v/>
      </c>
      <c r="Z358" s="100" t="str">
        <f t="shared" si="180"/>
        <v/>
      </c>
      <c r="AA358" s="100" t="e">
        <f t="shared" si="181"/>
        <v>#VALUE!</v>
      </c>
      <c r="AB358" s="100" t="e">
        <f t="shared" si="182"/>
        <v>#VALUE!</v>
      </c>
      <c r="AC358" s="100" t="e">
        <f t="shared" si="183"/>
        <v>#VALUE!</v>
      </c>
      <c r="AD358" s="100" t="e">
        <f t="shared" si="184"/>
        <v>#VALUE!</v>
      </c>
      <c r="AE358" s="8" t="str">
        <f t="shared" si="157"/>
        <v/>
      </c>
      <c r="AF358" s="8" t="str">
        <f t="shared" si="158"/>
        <v/>
      </c>
      <c r="AG358" s="7" t="str">
        <f t="shared" si="185"/>
        <v>Good</v>
      </c>
      <c r="AI358" s="100">
        <f t="shared" si="186"/>
        <v>29.024318313999999</v>
      </c>
      <c r="AJ358" s="100">
        <f t="shared" si="187"/>
        <v>47.582616973999997</v>
      </c>
    </row>
    <row r="359" spans="1:36" x14ac:dyDescent="0.2">
      <c r="A359" s="8">
        <v>39.149000000000001</v>
      </c>
      <c r="B359" s="100">
        <v>29.024323591000002</v>
      </c>
      <c r="C359" s="100">
        <v>47.582607496999998</v>
      </c>
      <c r="D359" s="101">
        <v>39148.739541742892</v>
      </c>
      <c r="E359" s="42" t="str">
        <f t="shared" si="159"/>
        <v/>
      </c>
      <c r="F359" s="7" t="str">
        <f t="shared" si="160"/>
        <v/>
      </c>
      <c r="G359" s="100" t="str">
        <f t="shared" si="161"/>
        <v/>
      </c>
      <c r="H359" s="100" t="str">
        <f t="shared" si="162"/>
        <v/>
      </c>
      <c r="I359" s="100" t="str">
        <f t="shared" si="163"/>
        <v/>
      </c>
      <c r="J359" s="100" t="str">
        <f t="shared" si="164"/>
        <v/>
      </c>
      <c r="K359" s="102" t="str">
        <f t="shared" si="165"/>
        <v/>
      </c>
      <c r="L359" s="103" t="str">
        <f t="shared" si="166"/>
        <v/>
      </c>
      <c r="M359" s="103" t="str">
        <f t="shared" si="167"/>
        <v/>
      </c>
      <c r="N359" s="103" t="str">
        <f t="shared" si="168"/>
        <v/>
      </c>
      <c r="O359" s="103" t="str">
        <f t="shared" si="169"/>
        <v/>
      </c>
      <c r="P359" s="105" t="str">
        <f t="shared" si="170"/>
        <v/>
      </c>
      <c r="Q359" s="105" t="str">
        <f t="shared" si="171"/>
        <v/>
      </c>
      <c r="R359" s="104" t="str">
        <f t="shared" si="172"/>
        <v/>
      </c>
      <c r="S359" s="104" t="str">
        <f t="shared" si="173"/>
        <v/>
      </c>
      <c r="T359" s="105" t="str">
        <f t="shared" si="174"/>
        <v/>
      </c>
      <c r="U359" s="14" t="str">
        <f t="shared" si="175"/>
        <v/>
      </c>
      <c r="V359" s="14" t="str">
        <f t="shared" si="176"/>
        <v/>
      </c>
      <c r="W359" s="103" t="str">
        <f t="shared" si="177"/>
        <v/>
      </c>
      <c r="X359" s="103" t="str">
        <f t="shared" si="178"/>
        <v/>
      </c>
      <c r="Y359" s="100" t="str">
        <f t="shared" si="179"/>
        <v/>
      </c>
      <c r="Z359" s="100" t="str">
        <f t="shared" si="180"/>
        <v/>
      </c>
      <c r="AA359" s="100" t="e">
        <f t="shared" si="181"/>
        <v>#VALUE!</v>
      </c>
      <c r="AB359" s="100" t="e">
        <f t="shared" si="182"/>
        <v>#VALUE!</v>
      </c>
      <c r="AC359" s="100" t="e">
        <f t="shared" si="183"/>
        <v>#VALUE!</v>
      </c>
      <c r="AD359" s="100" t="e">
        <f t="shared" si="184"/>
        <v>#VALUE!</v>
      </c>
      <c r="AE359" s="8" t="str">
        <f t="shared" si="157"/>
        <v/>
      </c>
      <c r="AF359" s="8" t="str">
        <f t="shared" si="158"/>
        <v/>
      </c>
      <c r="AG359" s="7" t="str">
        <f t="shared" si="185"/>
        <v>Good</v>
      </c>
      <c r="AI359" s="100">
        <f t="shared" si="186"/>
        <v>29.024323591000002</v>
      </c>
      <c r="AJ359" s="100">
        <f t="shared" si="187"/>
        <v>47.582607496999998</v>
      </c>
    </row>
    <row r="360" spans="1:36" x14ac:dyDescent="0.2">
      <c r="A360" s="8">
        <v>39.155000000000001</v>
      </c>
      <c r="B360" s="100">
        <v>29.024345531000002</v>
      </c>
      <c r="C360" s="100">
        <v>47.582550470000001</v>
      </c>
      <c r="D360" s="101">
        <v>39154.792734258175</v>
      </c>
      <c r="E360" s="42" t="str">
        <f t="shared" si="159"/>
        <v/>
      </c>
      <c r="F360" s="7" t="str">
        <f t="shared" si="160"/>
        <v/>
      </c>
      <c r="G360" s="100" t="str">
        <f t="shared" si="161"/>
        <v/>
      </c>
      <c r="H360" s="100" t="str">
        <f t="shared" si="162"/>
        <v/>
      </c>
      <c r="I360" s="100" t="str">
        <f t="shared" si="163"/>
        <v/>
      </c>
      <c r="J360" s="100" t="str">
        <f t="shared" si="164"/>
        <v/>
      </c>
      <c r="K360" s="102" t="str">
        <f t="shared" si="165"/>
        <v/>
      </c>
      <c r="L360" s="103" t="str">
        <f t="shared" si="166"/>
        <v/>
      </c>
      <c r="M360" s="103" t="str">
        <f t="shared" si="167"/>
        <v/>
      </c>
      <c r="N360" s="103" t="str">
        <f t="shared" si="168"/>
        <v/>
      </c>
      <c r="O360" s="103" t="str">
        <f t="shared" si="169"/>
        <v/>
      </c>
      <c r="P360" s="105" t="str">
        <f t="shared" si="170"/>
        <v/>
      </c>
      <c r="Q360" s="105" t="str">
        <f t="shared" si="171"/>
        <v/>
      </c>
      <c r="R360" s="104" t="str">
        <f t="shared" si="172"/>
        <v/>
      </c>
      <c r="S360" s="104" t="str">
        <f t="shared" si="173"/>
        <v/>
      </c>
      <c r="T360" s="105" t="str">
        <f t="shared" si="174"/>
        <v/>
      </c>
      <c r="U360" s="14" t="str">
        <f t="shared" si="175"/>
        <v/>
      </c>
      <c r="V360" s="14" t="str">
        <f t="shared" si="176"/>
        <v/>
      </c>
      <c r="W360" s="103" t="str">
        <f t="shared" si="177"/>
        <v/>
      </c>
      <c r="X360" s="103" t="str">
        <f t="shared" si="178"/>
        <v/>
      </c>
      <c r="Y360" s="100" t="str">
        <f t="shared" si="179"/>
        <v/>
      </c>
      <c r="Z360" s="100" t="str">
        <f t="shared" si="180"/>
        <v/>
      </c>
      <c r="AA360" s="100" t="e">
        <f t="shared" si="181"/>
        <v>#VALUE!</v>
      </c>
      <c r="AB360" s="100" t="e">
        <f t="shared" si="182"/>
        <v>#VALUE!</v>
      </c>
      <c r="AC360" s="100" t="e">
        <f t="shared" si="183"/>
        <v>#VALUE!</v>
      </c>
      <c r="AD360" s="100" t="e">
        <f t="shared" si="184"/>
        <v>#VALUE!</v>
      </c>
      <c r="AE360" s="8" t="str">
        <f t="shared" si="157"/>
        <v/>
      </c>
      <c r="AF360" s="8" t="str">
        <f t="shared" si="158"/>
        <v/>
      </c>
      <c r="AG360" s="7" t="str">
        <f t="shared" si="185"/>
        <v>Good</v>
      </c>
      <c r="AI360" s="100">
        <f t="shared" si="186"/>
        <v>29.024345531000002</v>
      </c>
      <c r="AJ360" s="100">
        <f t="shared" si="187"/>
        <v>47.582550470000001</v>
      </c>
    </row>
    <row r="361" spans="1:36" x14ac:dyDescent="0.2">
      <c r="A361" s="8">
        <v>39.167999999999999</v>
      </c>
      <c r="B361" s="100">
        <v>29.024375222</v>
      </c>
      <c r="C361" s="100">
        <v>47.582420505999998</v>
      </c>
      <c r="D361" s="101">
        <v>39167.8439773637</v>
      </c>
      <c r="E361" s="42" t="str">
        <f t="shared" si="159"/>
        <v/>
      </c>
      <c r="F361" s="7" t="str">
        <f t="shared" si="160"/>
        <v/>
      </c>
      <c r="G361" s="100" t="str">
        <f t="shared" si="161"/>
        <v/>
      </c>
      <c r="H361" s="100" t="str">
        <f t="shared" si="162"/>
        <v/>
      </c>
      <c r="I361" s="100" t="str">
        <f t="shared" si="163"/>
        <v/>
      </c>
      <c r="J361" s="100" t="str">
        <f t="shared" si="164"/>
        <v/>
      </c>
      <c r="K361" s="102" t="str">
        <f t="shared" si="165"/>
        <v/>
      </c>
      <c r="L361" s="103" t="str">
        <f t="shared" si="166"/>
        <v/>
      </c>
      <c r="M361" s="103" t="str">
        <f t="shared" si="167"/>
        <v/>
      </c>
      <c r="N361" s="103" t="str">
        <f t="shared" si="168"/>
        <v/>
      </c>
      <c r="O361" s="103" t="str">
        <f t="shared" si="169"/>
        <v/>
      </c>
      <c r="P361" s="105" t="str">
        <f t="shared" si="170"/>
        <v/>
      </c>
      <c r="Q361" s="105" t="str">
        <f t="shared" si="171"/>
        <v/>
      </c>
      <c r="R361" s="104" t="str">
        <f t="shared" si="172"/>
        <v/>
      </c>
      <c r="S361" s="104" t="str">
        <f t="shared" si="173"/>
        <v/>
      </c>
      <c r="T361" s="105" t="str">
        <f t="shared" si="174"/>
        <v/>
      </c>
      <c r="U361" s="14" t="str">
        <f t="shared" si="175"/>
        <v/>
      </c>
      <c r="V361" s="14" t="str">
        <f t="shared" si="176"/>
        <v/>
      </c>
      <c r="W361" s="103" t="str">
        <f t="shared" si="177"/>
        <v/>
      </c>
      <c r="X361" s="103" t="str">
        <f t="shared" si="178"/>
        <v/>
      </c>
      <c r="Y361" s="100" t="str">
        <f t="shared" si="179"/>
        <v/>
      </c>
      <c r="Z361" s="100" t="str">
        <f t="shared" si="180"/>
        <v/>
      </c>
      <c r="AA361" s="100" t="e">
        <f t="shared" si="181"/>
        <v>#VALUE!</v>
      </c>
      <c r="AB361" s="100" t="e">
        <f t="shared" si="182"/>
        <v>#VALUE!</v>
      </c>
      <c r="AC361" s="100" t="e">
        <f t="shared" si="183"/>
        <v>#VALUE!</v>
      </c>
      <c r="AD361" s="100" t="e">
        <f t="shared" si="184"/>
        <v>#VALUE!</v>
      </c>
      <c r="AE361" s="8" t="str">
        <f t="shared" si="157"/>
        <v/>
      </c>
      <c r="AF361" s="8" t="str">
        <f t="shared" si="158"/>
        <v/>
      </c>
      <c r="AG361" s="7" t="str">
        <f t="shared" si="185"/>
        <v>Good</v>
      </c>
      <c r="AI361" s="100">
        <f t="shared" si="186"/>
        <v>29.024375222</v>
      </c>
      <c r="AJ361" s="100">
        <f t="shared" si="187"/>
        <v>47.582420505999998</v>
      </c>
    </row>
    <row r="362" spans="1:36" x14ac:dyDescent="0.2">
      <c r="A362" s="8">
        <v>39.168999999999997</v>
      </c>
      <c r="B362" s="100">
        <v>29.024381904999998</v>
      </c>
      <c r="C362" s="100">
        <v>47.582410062000001</v>
      </c>
      <c r="D362" s="101">
        <v>39169.106155254514</v>
      </c>
      <c r="E362" s="42" t="str">
        <f t="shared" si="159"/>
        <v/>
      </c>
      <c r="F362" s="7" t="str">
        <f t="shared" si="160"/>
        <v/>
      </c>
      <c r="G362" s="100" t="str">
        <f t="shared" si="161"/>
        <v/>
      </c>
      <c r="H362" s="100" t="str">
        <f t="shared" si="162"/>
        <v/>
      </c>
      <c r="I362" s="100" t="str">
        <f t="shared" si="163"/>
        <v/>
      </c>
      <c r="J362" s="100" t="str">
        <f t="shared" si="164"/>
        <v/>
      </c>
      <c r="K362" s="102" t="str">
        <f t="shared" si="165"/>
        <v/>
      </c>
      <c r="L362" s="103" t="str">
        <f t="shared" si="166"/>
        <v/>
      </c>
      <c r="M362" s="103" t="str">
        <f t="shared" si="167"/>
        <v/>
      </c>
      <c r="N362" s="103" t="str">
        <f t="shared" si="168"/>
        <v/>
      </c>
      <c r="O362" s="103" t="str">
        <f t="shared" si="169"/>
        <v/>
      </c>
      <c r="P362" s="105" t="str">
        <f t="shared" si="170"/>
        <v/>
      </c>
      <c r="Q362" s="105" t="str">
        <f t="shared" si="171"/>
        <v/>
      </c>
      <c r="R362" s="104" t="str">
        <f t="shared" si="172"/>
        <v/>
      </c>
      <c r="S362" s="104" t="str">
        <f t="shared" si="173"/>
        <v/>
      </c>
      <c r="T362" s="105" t="str">
        <f t="shared" si="174"/>
        <v/>
      </c>
      <c r="U362" s="14" t="str">
        <f t="shared" si="175"/>
        <v/>
      </c>
      <c r="V362" s="14" t="str">
        <f t="shared" si="176"/>
        <v/>
      </c>
      <c r="W362" s="103" t="str">
        <f t="shared" si="177"/>
        <v/>
      </c>
      <c r="X362" s="103" t="str">
        <f t="shared" si="178"/>
        <v/>
      </c>
      <c r="Y362" s="100" t="str">
        <f t="shared" si="179"/>
        <v/>
      </c>
      <c r="Z362" s="100" t="str">
        <f t="shared" si="180"/>
        <v/>
      </c>
      <c r="AA362" s="100" t="e">
        <f t="shared" si="181"/>
        <v>#VALUE!</v>
      </c>
      <c r="AB362" s="100" t="e">
        <f t="shared" si="182"/>
        <v>#VALUE!</v>
      </c>
      <c r="AC362" s="100" t="e">
        <f t="shared" si="183"/>
        <v>#VALUE!</v>
      </c>
      <c r="AD362" s="100" t="e">
        <f t="shared" si="184"/>
        <v>#VALUE!</v>
      </c>
      <c r="AE362" s="8" t="str">
        <f t="shared" si="157"/>
        <v/>
      </c>
      <c r="AF362" s="8" t="str">
        <f t="shared" si="158"/>
        <v/>
      </c>
      <c r="AG362" s="7" t="str">
        <f t="shared" si="185"/>
        <v>Good</v>
      </c>
      <c r="AI362" s="100">
        <f t="shared" si="186"/>
        <v>29.024381904999998</v>
      </c>
      <c r="AJ362" s="100">
        <f t="shared" si="187"/>
        <v>47.582410062000001</v>
      </c>
    </row>
    <row r="363" spans="1:36" x14ac:dyDescent="0.2">
      <c r="A363" s="8">
        <v>39.186999999999998</v>
      </c>
      <c r="B363" s="100">
        <v>29.024429734999998</v>
      </c>
      <c r="C363" s="100">
        <v>47.582232347000001</v>
      </c>
      <c r="D363" s="101">
        <v>39187.173309464415</v>
      </c>
      <c r="E363" s="42" t="str">
        <f t="shared" si="159"/>
        <v/>
      </c>
      <c r="F363" s="7" t="str">
        <f t="shared" si="160"/>
        <v/>
      </c>
      <c r="G363" s="100" t="str">
        <f t="shared" si="161"/>
        <v/>
      </c>
      <c r="H363" s="100" t="str">
        <f t="shared" si="162"/>
        <v/>
      </c>
      <c r="I363" s="100" t="str">
        <f t="shared" si="163"/>
        <v/>
      </c>
      <c r="J363" s="100" t="str">
        <f t="shared" si="164"/>
        <v/>
      </c>
      <c r="K363" s="102" t="str">
        <f t="shared" si="165"/>
        <v/>
      </c>
      <c r="L363" s="103" t="str">
        <f t="shared" si="166"/>
        <v/>
      </c>
      <c r="M363" s="103" t="str">
        <f t="shared" si="167"/>
        <v/>
      </c>
      <c r="N363" s="103" t="str">
        <f t="shared" si="168"/>
        <v/>
      </c>
      <c r="O363" s="103" t="str">
        <f t="shared" si="169"/>
        <v/>
      </c>
      <c r="P363" s="105" t="str">
        <f t="shared" si="170"/>
        <v/>
      </c>
      <c r="Q363" s="105" t="str">
        <f t="shared" si="171"/>
        <v/>
      </c>
      <c r="R363" s="104" t="str">
        <f t="shared" si="172"/>
        <v/>
      </c>
      <c r="S363" s="104" t="str">
        <f t="shared" si="173"/>
        <v/>
      </c>
      <c r="T363" s="105" t="str">
        <f t="shared" si="174"/>
        <v/>
      </c>
      <c r="U363" s="14" t="str">
        <f t="shared" si="175"/>
        <v/>
      </c>
      <c r="V363" s="14" t="str">
        <f t="shared" si="176"/>
        <v/>
      </c>
      <c r="W363" s="103" t="str">
        <f t="shared" si="177"/>
        <v/>
      </c>
      <c r="X363" s="103" t="str">
        <f t="shared" si="178"/>
        <v/>
      </c>
      <c r="Y363" s="100" t="str">
        <f t="shared" si="179"/>
        <v/>
      </c>
      <c r="Z363" s="100" t="str">
        <f t="shared" si="180"/>
        <v/>
      </c>
      <c r="AA363" s="100" t="e">
        <f t="shared" si="181"/>
        <v>#VALUE!</v>
      </c>
      <c r="AB363" s="100" t="e">
        <f t="shared" si="182"/>
        <v>#VALUE!</v>
      </c>
      <c r="AC363" s="100" t="e">
        <f t="shared" si="183"/>
        <v>#VALUE!</v>
      </c>
      <c r="AD363" s="100" t="e">
        <f t="shared" si="184"/>
        <v>#VALUE!</v>
      </c>
      <c r="AE363" s="8" t="str">
        <f t="shared" si="157"/>
        <v/>
      </c>
      <c r="AF363" s="8" t="str">
        <f t="shared" si="158"/>
        <v/>
      </c>
      <c r="AG363" s="7" t="str">
        <f t="shared" si="185"/>
        <v>Good</v>
      </c>
      <c r="AI363" s="100">
        <f t="shared" si="186"/>
        <v>29.024429734999998</v>
      </c>
      <c r="AJ363" s="100">
        <f t="shared" si="187"/>
        <v>47.582232347000001</v>
      </c>
    </row>
    <row r="364" spans="1:36" x14ac:dyDescent="0.2">
      <c r="A364" s="8">
        <v>39.195</v>
      </c>
      <c r="B364" s="100">
        <v>29.024447437999999</v>
      </c>
      <c r="C364" s="100">
        <v>47.582155336</v>
      </c>
      <c r="D364" s="101">
        <v>39194.910395197207</v>
      </c>
      <c r="E364" s="42" t="str">
        <f t="shared" si="159"/>
        <v/>
      </c>
      <c r="F364" s="7" t="str">
        <f t="shared" si="160"/>
        <v/>
      </c>
      <c r="G364" s="100" t="str">
        <f t="shared" si="161"/>
        <v/>
      </c>
      <c r="H364" s="100" t="str">
        <f t="shared" si="162"/>
        <v/>
      </c>
      <c r="I364" s="100" t="str">
        <f t="shared" si="163"/>
        <v/>
      </c>
      <c r="J364" s="100" t="str">
        <f t="shared" si="164"/>
        <v/>
      </c>
      <c r="K364" s="102" t="str">
        <f t="shared" si="165"/>
        <v/>
      </c>
      <c r="L364" s="103" t="str">
        <f t="shared" si="166"/>
        <v/>
      </c>
      <c r="M364" s="103" t="str">
        <f t="shared" si="167"/>
        <v/>
      </c>
      <c r="N364" s="103" t="str">
        <f t="shared" si="168"/>
        <v/>
      </c>
      <c r="O364" s="103" t="str">
        <f t="shared" si="169"/>
        <v/>
      </c>
      <c r="P364" s="105" t="str">
        <f t="shared" si="170"/>
        <v/>
      </c>
      <c r="Q364" s="105" t="str">
        <f t="shared" si="171"/>
        <v/>
      </c>
      <c r="R364" s="104" t="str">
        <f t="shared" si="172"/>
        <v/>
      </c>
      <c r="S364" s="104" t="str">
        <f t="shared" si="173"/>
        <v/>
      </c>
      <c r="T364" s="105" t="str">
        <f t="shared" si="174"/>
        <v/>
      </c>
      <c r="U364" s="14" t="str">
        <f t="shared" si="175"/>
        <v/>
      </c>
      <c r="V364" s="14" t="str">
        <f t="shared" si="176"/>
        <v/>
      </c>
      <c r="W364" s="103" t="str">
        <f t="shared" si="177"/>
        <v/>
      </c>
      <c r="X364" s="103" t="str">
        <f t="shared" si="178"/>
        <v/>
      </c>
      <c r="Y364" s="100" t="str">
        <f t="shared" si="179"/>
        <v/>
      </c>
      <c r="Z364" s="100" t="str">
        <f t="shared" si="180"/>
        <v/>
      </c>
      <c r="AA364" s="100" t="e">
        <f t="shared" si="181"/>
        <v>#VALUE!</v>
      </c>
      <c r="AB364" s="100" t="e">
        <f t="shared" si="182"/>
        <v>#VALUE!</v>
      </c>
      <c r="AC364" s="100" t="e">
        <f t="shared" si="183"/>
        <v>#VALUE!</v>
      </c>
      <c r="AD364" s="100" t="e">
        <f t="shared" si="184"/>
        <v>#VALUE!</v>
      </c>
      <c r="AE364" s="8" t="str">
        <f t="shared" si="157"/>
        <v/>
      </c>
      <c r="AF364" s="8" t="str">
        <f t="shared" si="158"/>
        <v/>
      </c>
      <c r="AG364" s="7" t="str">
        <f t="shared" si="185"/>
        <v>Good</v>
      </c>
      <c r="AI364" s="100">
        <f t="shared" si="186"/>
        <v>29.024447437999999</v>
      </c>
      <c r="AJ364" s="100">
        <f t="shared" si="187"/>
        <v>47.582155336</v>
      </c>
    </row>
    <row r="365" spans="1:36" x14ac:dyDescent="0.2">
      <c r="A365" s="8">
        <v>39.210999999999999</v>
      </c>
      <c r="B365" s="100">
        <v>29.024489975000002</v>
      </c>
      <c r="C365" s="100">
        <v>47.581991608000003</v>
      </c>
      <c r="D365" s="101">
        <v>39211.506330943048</v>
      </c>
      <c r="E365" s="42" t="str">
        <f t="shared" si="159"/>
        <v/>
      </c>
      <c r="F365" s="7" t="str">
        <f t="shared" si="160"/>
        <v/>
      </c>
      <c r="G365" s="100" t="str">
        <f t="shared" si="161"/>
        <v/>
      </c>
      <c r="H365" s="100" t="str">
        <f t="shared" si="162"/>
        <v/>
      </c>
      <c r="I365" s="100" t="str">
        <f t="shared" si="163"/>
        <v/>
      </c>
      <c r="J365" s="100" t="str">
        <f t="shared" si="164"/>
        <v/>
      </c>
      <c r="K365" s="102" t="str">
        <f t="shared" si="165"/>
        <v/>
      </c>
      <c r="L365" s="103" t="str">
        <f t="shared" si="166"/>
        <v/>
      </c>
      <c r="M365" s="103" t="str">
        <f t="shared" si="167"/>
        <v/>
      </c>
      <c r="N365" s="103" t="str">
        <f t="shared" si="168"/>
        <v/>
      </c>
      <c r="O365" s="103" t="str">
        <f t="shared" si="169"/>
        <v/>
      </c>
      <c r="P365" s="105" t="str">
        <f t="shared" si="170"/>
        <v/>
      </c>
      <c r="Q365" s="105" t="str">
        <f t="shared" si="171"/>
        <v/>
      </c>
      <c r="R365" s="104" t="str">
        <f t="shared" si="172"/>
        <v/>
      </c>
      <c r="S365" s="104" t="str">
        <f t="shared" si="173"/>
        <v/>
      </c>
      <c r="T365" s="105" t="str">
        <f t="shared" si="174"/>
        <v/>
      </c>
      <c r="U365" s="14" t="str">
        <f t="shared" si="175"/>
        <v/>
      </c>
      <c r="V365" s="14" t="str">
        <f t="shared" si="176"/>
        <v/>
      </c>
      <c r="W365" s="103" t="str">
        <f t="shared" si="177"/>
        <v/>
      </c>
      <c r="X365" s="103" t="str">
        <f t="shared" si="178"/>
        <v/>
      </c>
      <c r="Y365" s="100" t="str">
        <f t="shared" si="179"/>
        <v/>
      </c>
      <c r="Z365" s="100" t="str">
        <f t="shared" si="180"/>
        <v/>
      </c>
      <c r="AA365" s="100" t="e">
        <f t="shared" si="181"/>
        <v>#VALUE!</v>
      </c>
      <c r="AB365" s="100" t="e">
        <f t="shared" si="182"/>
        <v>#VALUE!</v>
      </c>
      <c r="AC365" s="100" t="e">
        <f t="shared" si="183"/>
        <v>#VALUE!</v>
      </c>
      <c r="AD365" s="100" t="e">
        <f t="shared" si="184"/>
        <v>#VALUE!</v>
      </c>
      <c r="AE365" s="8" t="str">
        <f t="shared" si="157"/>
        <v/>
      </c>
      <c r="AF365" s="8" t="str">
        <f t="shared" si="158"/>
        <v/>
      </c>
      <c r="AG365" s="7" t="str">
        <f t="shared" si="185"/>
        <v>Good</v>
      </c>
      <c r="AI365" s="100">
        <f t="shared" si="186"/>
        <v>29.024489975000002</v>
      </c>
      <c r="AJ365" s="100">
        <f t="shared" si="187"/>
        <v>47.581991608000003</v>
      </c>
    </row>
    <row r="366" spans="1:36" x14ac:dyDescent="0.2">
      <c r="A366" s="8">
        <v>39.212000000000003</v>
      </c>
      <c r="B366" s="100">
        <v>29.024488885</v>
      </c>
      <c r="C366" s="100">
        <v>47.581990339999997</v>
      </c>
      <c r="D366" s="101">
        <v>39211.696073142688</v>
      </c>
      <c r="E366" s="42" t="str">
        <f t="shared" si="159"/>
        <v/>
      </c>
      <c r="F366" s="7" t="str">
        <f t="shared" si="160"/>
        <v/>
      </c>
      <c r="G366" s="100" t="str">
        <f t="shared" si="161"/>
        <v/>
      </c>
      <c r="H366" s="100" t="str">
        <f t="shared" si="162"/>
        <v/>
      </c>
      <c r="I366" s="100" t="str">
        <f t="shared" si="163"/>
        <v/>
      </c>
      <c r="J366" s="100" t="str">
        <f t="shared" si="164"/>
        <v/>
      </c>
      <c r="K366" s="102" t="str">
        <f t="shared" si="165"/>
        <v/>
      </c>
      <c r="L366" s="103" t="str">
        <f t="shared" si="166"/>
        <v/>
      </c>
      <c r="M366" s="103" t="str">
        <f t="shared" si="167"/>
        <v/>
      </c>
      <c r="N366" s="103" t="str">
        <f t="shared" si="168"/>
        <v/>
      </c>
      <c r="O366" s="103" t="str">
        <f t="shared" si="169"/>
        <v/>
      </c>
      <c r="P366" s="105" t="str">
        <f t="shared" si="170"/>
        <v/>
      </c>
      <c r="Q366" s="105" t="str">
        <f t="shared" si="171"/>
        <v/>
      </c>
      <c r="R366" s="104" t="str">
        <f t="shared" si="172"/>
        <v/>
      </c>
      <c r="S366" s="104" t="str">
        <f t="shared" si="173"/>
        <v/>
      </c>
      <c r="T366" s="105" t="str">
        <f t="shared" si="174"/>
        <v/>
      </c>
      <c r="U366" s="14" t="str">
        <f t="shared" si="175"/>
        <v/>
      </c>
      <c r="V366" s="14" t="str">
        <f t="shared" si="176"/>
        <v/>
      </c>
      <c r="W366" s="103" t="str">
        <f t="shared" si="177"/>
        <v/>
      </c>
      <c r="X366" s="103" t="str">
        <f t="shared" si="178"/>
        <v/>
      </c>
      <c r="Y366" s="100" t="str">
        <f t="shared" si="179"/>
        <v/>
      </c>
      <c r="Z366" s="100" t="str">
        <f t="shared" si="180"/>
        <v/>
      </c>
      <c r="AA366" s="100" t="e">
        <f t="shared" si="181"/>
        <v>#VALUE!</v>
      </c>
      <c r="AB366" s="100" t="e">
        <f t="shared" si="182"/>
        <v>#VALUE!</v>
      </c>
      <c r="AC366" s="100" t="e">
        <f t="shared" si="183"/>
        <v>#VALUE!</v>
      </c>
      <c r="AD366" s="100" t="e">
        <f t="shared" si="184"/>
        <v>#VALUE!</v>
      </c>
      <c r="AE366" s="8" t="str">
        <f t="shared" si="157"/>
        <v/>
      </c>
      <c r="AF366" s="8" t="str">
        <f t="shared" si="158"/>
        <v/>
      </c>
      <c r="AG366" s="7" t="str">
        <f t="shared" si="185"/>
        <v>Good</v>
      </c>
      <c r="AI366" s="100">
        <f t="shared" si="186"/>
        <v>29.024488885</v>
      </c>
      <c r="AJ366" s="100">
        <f t="shared" si="187"/>
        <v>47.581990339999997</v>
      </c>
    </row>
    <row r="367" spans="1:36" x14ac:dyDescent="0.2">
      <c r="A367" s="8">
        <v>39.222000000000001</v>
      </c>
      <c r="B367" s="100">
        <v>29.024507119999999</v>
      </c>
      <c r="C367" s="100">
        <v>47.581885942</v>
      </c>
      <c r="D367" s="101">
        <v>39222.040503945063</v>
      </c>
      <c r="E367" s="42" t="str">
        <f t="shared" si="159"/>
        <v/>
      </c>
      <c r="F367" s="7" t="str">
        <f t="shared" si="160"/>
        <v/>
      </c>
      <c r="G367" s="100" t="str">
        <f t="shared" si="161"/>
        <v/>
      </c>
      <c r="H367" s="100" t="str">
        <f t="shared" si="162"/>
        <v/>
      </c>
      <c r="I367" s="100" t="str">
        <f t="shared" si="163"/>
        <v/>
      </c>
      <c r="J367" s="100" t="str">
        <f t="shared" si="164"/>
        <v/>
      </c>
      <c r="K367" s="102" t="str">
        <f t="shared" si="165"/>
        <v/>
      </c>
      <c r="L367" s="103" t="str">
        <f t="shared" si="166"/>
        <v/>
      </c>
      <c r="M367" s="103" t="str">
        <f t="shared" si="167"/>
        <v/>
      </c>
      <c r="N367" s="103" t="str">
        <f t="shared" si="168"/>
        <v/>
      </c>
      <c r="O367" s="103" t="str">
        <f t="shared" si="169"/>
        <v/>
      </c>
      <c r="P367" s="105" t="str">
        <f t="shared" si="170"/>
        <v/>
      </c>
      <c r="Q367" s="105" t="str">
        <f t="shared" si="171"/>
        <v/>
      </c>
      <c r="R367" s="104" t="str">
        <f t="shared" si="172"/>
        <v/>
      </c>
      <c r="S367" s="104" t="str">
        <f t="shared" si="173"/>
        <v/>
      </c>
      <c r="T367" s="105" t="str">
        <f t="shared" si="174"/>
        <v/>
      </c>
      <c r="U367" s="14" t="str">
        <f t="shared" si="175"/>
        <v/>
      </c>
      <c r="V367" s="14" t="str">
        <f t="shared" si="176"/>
        <v/>
      </c>
      <c r="W367" s="103" t="str">
        <f t="shared" si="177"/>
        <v/>
      </c>
      <c r="X367" s="103" t="str">
        <f t="shared" si="178"/>
        <v/>
      </c>
      <c r="Y367" s="100" t="str">
        <f t="shared" si="179"/>
        <v/>
      </c>
      <c r="Z367" s="100" t="str">
        <f t="shared" si="180"/>
        <v/>
      </c>
      <c r="AA367" s="100" t="e">
        <f t="shared" si="181"/>
        <v>#VALUE!</v>
      </c>
      <c r="AB367" s="100" t="e">
        <f t="shared" si="182"/>
        <v>#VALUE!</v>
      </c>
      <c r="AC367" s="100" t="e">
        <f t="shared" si="183"/>
        <v>#VALUE!</v>
      </c>
      <c r="AD367" s="100" t="e">
        <f t="shared" si="184"/>
        <v>#VALUE!</v>
      </c>
      <c r="AE367" s="8" t="str">
        <f t="shared" si="157"/>
        <v/>
      </c>
      <c r="AF367" s="8" t="str">
        <f t="shared" si="158"/>
        <v/>
      </c>
      <c r="AG367" s="7" t="str">
        <f t="shared" si="185"/>
        <v>Good</v>
      </c>
      <c r="AI367" s="100">
        <f t="shared" si="186"/>
        <v>29.024507119999999</v>
      </c>
      <c r="AJ367" s="100">
        <f t="shared" si="187"/>
        <v>47.581885942</v>
      </c>
    </row>
    <row r="368" spans="1:36" x14ac:dyDescent="0.2">
      <c r="A368" s="8">
        <v>39.369999999999997</v>
      </c>
      <c r="B368" s="100">
        <v>29.024889377000001</v>
      </c>
      <c r="C368" s="100">
        <v>47.580422495000001</v>
      </c>
      <c r="D368" s="101">
        <v>39370.443954229158</v>
      </c>
      <c r="E368" s="42" t="str">
        <f t="shared" si="159"/>
        <v/>
      </c>
      <c r="F368" s="7" t="str">
        <f t="shared" si="160"/>
        <v/>
      </c>
      <c r="G368" s="100" t="str">
        <f t="shared" si="161"/>
        <v/>
      </c>
      <c r="H368" s="100" t="str">
        <f t="shared" si="162"/>
        <v/>
      </c>
      <c r="I368" s="100" t="str">
        <f t="shared" si="163"/>
        <v/>
      </c>
      <c r="J368" s="100" t="str">
        <f t="shared" si="164"/>
        <v/>
      </c>
      <c r="K368" s="102" t="str">
        <f t="shared" si="165"/>
        <v/>
      </c>
      <c r="L368" s="103" t="str">
        <f t="shared" si="166"/>
        <v/>
      </c>
      <c r="M368" s="103" t="str">
        <f t="shared" si="167"/>
        <v/>
      </c>
      <c r="N368" s="103" t="str">
        <f t="shared" si="168"/>
        <v/>
      </c>
      <c r="O368" s="103" t="str">
        <f t="shared" si="169"/>
        <v/>
      </c>
      <c r="P368" s="105" t="str">
        <f t="shared" si="170"/>
        <v/>
      </c>
      <c r="Q368" s="105" t="str">
        <f t="shared" si="171"/>
        <v/>
      </c>
      <c r="R368" s="104" t="str">
        <f t="shared" si="172"/>
        <v/>
      </c>
      <c r="S368" s="104" t="str">
        <f t="shared" si="173"/>
        <v/>
      </c>
      <c r="T368" s="105" t="str">
        <f t="shared" si="174"/>
        <v/>
      </c>
      <c r="U368" s="14" t="str">
        <f t="shared" si="175"/>
        <v/>
      </c>
      <c r="V368" s="14" t="str">
        <f t="shared" si="176"/>
        <v/>
      </c>
      <c r="W368" s="103" t="str">
        <f t="shared" si="177"/>
        <v/>
      </c>
      <c r="X368" s="103" t="str">
        <f t="shared" si="178"/>
        <v/>
      </c>
      <c r="Y368" s="100" t="str">
        <f t="shared" si="179"/>
        <v/>
      </c>
      <c r="Z368" s="100" t="str">
        <f t="shared" si="180"/>
        <v/>
      </c>
      <c r="AA368" s="100" t="e">
        <f t="shared" si="181"/>
        <v>#VALUE!</v>
      </c>
      <c r="AB368" s="100" t="e">
        <f t="shared" si="182"/>
        <v>#VALUE!</v>
      </c>
      <c r="AC368" s="100" t="e">
        <f t="shared" si="183"/>
        <v>#VALUE!</v>
      </c>
      <c r="AD368" s="100" t="e">
        <f t="shared" si="184"/>
        <v>#VALUE!</v>
      </c>
      <c r="AE368" s="8" t="str">
        <f t="shared" si="157"/>
        <v/>
      </c>
      <c r="AF368" s="8" t="str">
        <f t="shared" si="158"/>
        <v/>
      </c>
      <c r="AG368" s="7" t="str">
        <f t="shared" si="185"/>
        <v>Good</v>
      </c>
      <c r="AI368" s="100">
        <f t="shared" si="186"/>
        <v>29.024889377000001</v>
      </c>
      <c r="AJ368" s="100">
        <f t="shared" si="187"/>
        <v>47.580422495000001</v>
      </c>
    </row>
    <row r="369" spans="1:36" x14ac:dyDescent="0.2">
      <c r="A369" s="8">
        <v>39.47</v>
      </c>
      <c r="B369" s="100">
        <v>29.025142597999999</v>
      </c>
      <c r="C369" s="100">
        <v>47.579439788999998</v>
      </c>
      <c r="D369" s="101">
        <v>39469.98724944827</v>
      </c>
      <c r="E369" s="42" t="str">
        <f t="shared" si="159"/>
        <v/>
      </c>
      <c r="F369" s="7" t="str">
        <f t="shared" si="160"/>
        <v/>
      </c>
      <c r="G369" s="100" t="str">
        <f t="shared" si="161"/>
        <v/>
      </c>
      <c r="H369" s="100" t="str">
        <f t="shared" si="162"/>
        <v/>
      </c>
      <c r="I369" s="100" t="str">
        <f t="shared" si="163"/>
        <v/>
      </c>
      <c r="J369" s="100" t="str">
        <f t="shared" si="164"/>
        <v/>
      </c>
      <c r="K369" s="102" t="str">
        <f t="shared" si="165"/>
        <v/>
      </c>
      <c r="L369" s="103" t="str">
        <f t="shared" si="166"/>
        <v/>
      </c>
      <c r="M369" s="103" t="str">
        <f t="shared" si="167"/>
        <v/>
      </c>
      <c r="N369" s="103" t="str">
        <f t="shared" si="168"/>
        <v/>
      </c>
      <c r="O369" s="103" t="str">
        <f t="shared" si="169"/>
        <v/>
      </c>
      <c r="P369" s="105" t="str">
        <f t="shared" si="170"/>
        <v/>
      </c>
      <c r="Q369" s="105" t="str">
        <f t="shared" si="171"/>
        <v/>
      </c>
      <c r="R369" s="104" t="str">
        <f t="shared" si="172"/>
        <v/>
      </c>
      <c r="S369" s="104" t="str">
        <f t="shared" si="173"/>
        <v/>
      </c>
      <c r="T369" s="105" t="str">
        <f t="shared" si="174"/>
        <v/>
      </c>
      <c r="U369" s="14" t="str">
        <f t="shared" si="175"/>
        <v/>
      </c>
      <c r="V369" s="14" t="str">
        <f t="shared" si="176"/>
        <v/>
      </c>
      <c r="W369" s="103" t="str">
        <f t="shared" si="177"/>
        <v/>
      </c>
      <c r="X369" s="103" t="str">
        <f t="shared" si="178"/>
        <v/>
      </c>
      <c r="Y369" s="100" t="str">
        <f t="shared" si="179"/>
        <v/>
      </c>
      <c r="Z369" s="100" t="str">
        <f t="shared" si="180"/>
        <v/>
      </c>
      <c r="AA369" s="100" t="e">
        <f t="shared" si="181"/>
        <v>#VALUE!</v>
      </c>
      <c r="AB369" s="100" t="e">
        <f t="shared" si="182"/>
        <v>#VALUE!</v>
      </c>
      <c r="AC369" s="100" t="e">
        <f t="shared" si="183"/>
        <v>#VALUE!</v>
      </c>
      <c r="AD369" s="100" t="e">
        <f t="shared" si="184"/>
        <v>#VALUE!</v>
      </c>
      <c r="AE369" s="8" t="str">
        <f t="shared" si="157"/>
        <v/>
      </c>
      <c r="AF369" s="8" t="str">
        <f t="shared" si="158"/>
        <v/>
      </c>
      <c r="AG369" s="7" t="str">
        <f t="shared" si="185"/>
        <v>Good</v>
      </c>
      <c r="AI369" s="100">
        <f t="shared" si="186"/>
        <v>29.025142597999999</v>
      </c>
      <c r="AJ369" s="100">
        <f t="shared" si="187"/>
        <v>47.579439788999998</v>
      </c>
    </row>
    <row r="370" spans="1:36" x14ac:dyDescent="0.2">
      <c r="A370" s="8">
        <v>39.695</v>
      </c>
      <c r="B370" s="100">
        <v>29.025714825000001</v>
      </c>
      <c r="C370" s="100">
        <v>47.577216511000003</v>
      </c>
      <c r="D370" s="101">
        <v>39695.172753203602</v>
      </c>
      <c r="E370" s="42" t="str">
        <f t="shared" si="159"/>
        <v/>
      </c>
      <c r="F370" s="7" t="str">
        <f t="shared" si="160"/>
        <v/>
      </c>
      <c r="G370" s="100" t="str">
        <f t="shared" si="161"/>
        <v/>
      </c>
      <c r="H370" s="100" t="str">
        <f t="shared" si="162"/>
        <v/>
      </c>
      <c r="I370" s="100" t="str">
        <f t="shared" si="163"/>
        <v/>
      </c>
      <c r="J370" s="100" t="str">
        <f t="shared" si="164"/>
        <v/>
      </c>
      <c r="K370" s="102" t="str">
        <f t="shared" si="165"/>
        <v/>
      </c>
      <c r="L370" s="103" t="str">
        <f t="shared" si="166"/>
        <v/>
      </c>
      <c r="M370" s="103" t="str">
        <f t="shared" si="167"/>
        <v/>
      </c>
      <c r="N370" s="103" t="str">
        <f t="shared" si="168"/>
        <v/>
      </c>
      <c r="O370" s="103" t="str">
        <f t="shared" si="169"/>
        <v/>
      </c>
      <c r="P370" s="105" t="str">
        <f t="shared" si="170"/>
        <v/>
      </c>
      <c r="Q370" s="105" t="str">
        <f t="shared" si="171"/>
        <v/>
      </c>
      <c r="R370" s="104" t="str">
        <f t="shared" si="172"/>
        <v/>
      </c>
      <c r="S370" s="104" t="str">
        <f t="shared" si="173"/>
        <v/>
      </c>
      <c r="T370" s="105" t="str">
        <f t="shared" si="174"/>
        <v/>
      </c>
      <c r="U370" s="14" t="str">
        <f t="shared" si="175"/>
        <v/>
      </c>
      <c r="V370" s="14" t="str">
        <f t="shared" si="176"/>
        <v/>
      </c>
      <c r="W370" s="103" t="str">
        <f t="shared" si="177"/>
        <v/>
      </c>
      <c r="X370" s="103" t="str">
        <f t="shared" si="178"/>
        <v/>
      </c>
      <c r="Y370" s="100" t="str">
        <f t="shared" si="179"/>
        <v/>
      </c>
      <c r="Z370" s="100" t="str">
        <f t="shared" si="180"/>
        <v/>
      </c>
      <c r="AA370" s="100" t="e">
        <f t="shared" si="181"/>
        <v>#VALUE!</v>
      </c>
      <c r="AB370" s="100" t="e">
        <f t="shared" si="182"/>
        <v>#VALUE!</v>
      </c>
      <c r="AC370" s="100" t="e">
        <f t="shared" si="183"/>
        <v>#VALUE!</v>
      </c>
      <c r="AD370" s="100" t="e">
        <f t="shared" si="184"/>
        <v>#VALUE!</v>
      </c>
      <c r="AE370" s="8" t="str">
        <f t="shared" si="157"/>
        <v/>
      </c>
      <c r="AF370" s="8" t="str">
        <f t="shared" si="158"/>
        <v/>
      </c>
      <c r="AG370" s="7" t="str">
        <f t="shared" si="185"/>
        <v>Good</v>
      </c>
      <c r="AI370" s="100">
        <f t="shared" si="186"/>
        <v>29.025714825000001</v>
      </c>
      <c r="AJ370" s="100">
        <f t="shared" si="187"/>
        <v>47.577216511000003</v>
      </c>
    </row>
    <row r="371" spans="1:36" x14ac:dyDescent="0.2">
      <c r="A371" s="8">
        <v>39.786999999999999</v>
      </c>
      <c r="D371" s="101">
        <v>39787</v>
      </c>
      <c r="E371" s="42">
        <f t="shared" si="159"/>
        <v>91.827246796397958</v>
      </c>
      <c r="F371" s="7">
        <f t="shared" si="160"/>
        <v>1</v>
      </c>
      <c r="G371" s="100">
        <f t="shared" si="161"/>
        <v>29.025714825000001</v>
      </c>
      <c r="H371" s="100">
        <f t="shared" si="162"/>
        <v>47.577216511000003</v>
      </c>
      <c r="I371" s="100">
        <f t="shared" si="163"/>
        <v>29.025952127</v>
      </c>
      <c r="J371" s="100">
        <f t="shared" si="164"/>
        <v>47.576299102</v>
      </c>
      <c r="K371" s="102">
        <f t="shared" si="165"/>
        <v>38</v>
      </c>
      <c r="L371" s="103">
        <f t="shared" si="166"/>
        <v>3213574.842628343</v>
      </c>
      <c r="M371" s="103">
        <f t="shared" si="167"/>
        <v>751003.67301188281</v>
      </c>
      <c r="N371" s="103">
        <f t="shared" si="168"/>
        <v>3213599.1962004257</v>
      </c>
      <c r="O371" s="103">
        <f t="shared" si="169"/>
        <v>750913.7171070535</v>
      </c>
      <c r="P371" s="105">
        <f t="shared" si="170"/>
        <v>24.353572082705796</v>
      </c>
      <c r="Q371" s="105">
        <f t="shared" si="171"/>
        <v>-89.955904829315841</v>
      </c>
      <c r="R371" s="104">
        <f t="shared" si="172"/>
        <v>93.194212732596625</v>
      </c>
      <c r="S371" s="104" t="str">
        <f t="shared" si="173"/>
        <v>NW</v>
      </c>
      <c r="T371" s="105">
        <f t="shared" si="174"/>
        <v>0.26439014006622602</v>
      </c>
      <c r="U371" s="14">
        <f t="shared" si="175"/>
        <v>-88.636438157984699</v>
      </c>
      <c r="V371" s="14">
        <f t="shared" si="176"/>
        <v>23.996355658147991</v>
      </c>
      <c r="W371" s="103">
        <f t="shared" si="177"/>
        <v>3213598.838984001</v>
      </c>
      <c r="X371" s="103">
        <f t="shared" si="178"/>
        <v>750915.03657372482</v>
      </c>
      <c r="Y371" s="100">
        <f t="shared" si="179"/>
        <v>29.025948617528467</v>
      </c>
      <c r="Z371" s="100">
        <f t="shared" si="180"/>
        <v>47.576312558737555</v>
      </c>
      <c r="AA371" s="100">
        <f t="shared" si="181"/>
        <v>-2.3379252846567056E-4</v>
      </c>
      <c r="AB371" s="100">
        <f t="shared" si="182"/>
        <v>-3.509471532936459E-6</v>
      </c>
      <c r="AC371" s="100">
        <f t="shared" si="183"/>
        <v>9.0395226244766036E-4</v>
      </c>
      <c r="AD371" s="100">
        <f t="shared" si="184"/>
        <v>1.3456737555372911E-5</v>
      </c>
      <c r="AE371" s="8" t="str">
        <f t="shared" si="157"/>
        <v>Good</v>
      </c>
      <c r="AF371" s="8" t="str">
        <f t="shared" si="158"/>
        <v>Good</v>
      </c>
      <c r="AG371" s="7" t="str">
        <f t="shared" si="185"/>
        <v>Good</v>
      </c>
      <c r="AI371" s="100">
        <f t="shared" si="186"/>
        <v>29.025948617528467</v>
      </c>
      <c r="AJ371" s="100">
        <f t="shared" si="187"/>
        <v>47.576312558737555</v>
      </c>
    </row>
    <row r="372" spans="1:36" x14ac:dyDescent="0.2">
      <c r="A372" s="8">
        <v>39.787999999999997</v>
      </c>
      <c r="B372" s="100">
        <v>29.025952127</v>
      </c>
      <c r="C372" s="100">
        <v>47.576299102</v>
      </c>
      <c r="D372" s="101">
        <v>39788.129633452292</v>
      </c>
      <c r="E372" s="42" t="str">
        <f t="shared" si="159"/>
        <v/>
      </c>
      <c r="F372" s="7" t="str">
        <f t="shared" si="160"/>
        <v/>
      </c>
      <c r="G372" s="100" t="str">
        <f t="shared" si="161"/>
        <v/>
      </c>
      <c r="H372" s="100" t="str">
        <f t="shared" si="162"/>
        <v/>
      </c>
      <c r="I372" s="100" t="str">
        <f t="shared" si="163"/>
        <v/>
      </c>
      <c r="J372" s="100" t="str">
        <f t="shared" si="164"/>
        <v/>
      </c>
      <c r="K372" s="102" t="str">
        <f t="shared" si="165"/>
        <v/>
      </c>
      <c r="L372" s="103" t="str">
        <f t="shared" si="166"/>
        <v/>
      </c>
      <c r="M372" s="103" t="str">
        <f t="shared" si="167"/>
        <v/>
      </c>
      <c r="N372" s="103" t="str">
        <f t="shared" si="168"/>
        <v/>
      </c>
      <c r="O372" s="103" t="str">
        <f t="shared" si="169"/>
        <v/>
      </c>
      <c r="P372" s="105" t="str">
        <f t="shared" si="170"/>
        <v/>
      </c>
      <c r="Q372" s="105" t="str">
        <f t="shared" si="171"/>
        <v/>
      </c>
      <c r="R372" s="104" t="str">
        <f t="shared" si="172"/>
        <v/>
      </c>
      <c r="S372" s="104" t="str">
        <f t="shared" si="173"/>
        <v/>
      </c>
      <c r="T372" s="105" t="str">
        <f t="shared" si="174"/>
        <v/>
      </c>
      <c r="U372" s="14" t="str">
        <f t="shared" si="175"/>
        <v/>
      </c>
      <c r="V372" s="14" t="str">
        <f t="shared" si="176"/>
        <v/>
      </c>
      <c r="W372" s="103" t="str">
        <f t="shared" si="177"/>
        <v/>
      </c>
      <c r="X372" s="103" t="str">
        <f t="shared" si="178"/>
        <v/>
      </c>
      <c r="Y372" s="100" t="str">
        <f t="shared" si="179"/>
        <v/>
      </c>
      <c r="Z372" s="100" t="str">
        <f t="shared" si="180"/>
        <v/>
      </c>
      <c r="AA372" s="100" t="e">
        <f t="shared" si="181"/>
        <v>#VALUE!</v>
      </c>
      <c r="AB372" s="100" t="e">
        <f t="shared" si="182"/>
        <v>#VALUE!</v>
      </c>
      <c r="AC372" s="100" t="e">
        <f t="shared" si="183"/>
        <v>#VALUE!</v>
      </c>
      <c r="AD372" s="100" t="e">
        <f t="shared" si="184"/>
        <v>#VALUE!</v>
      </c>
      <c r="AE372" s="8" t="str">
        <f t="shared" si="157"/>
        <v/>
      </c>
      <c r="AF372" s="8" t="str">
        <f t="shared" si="158"/>
        <v/>
      </c>
      <c r="AG372" s="7" t="str">
        <f t="shared" si="185"/>
        <v>Good</v>
      </c>
      <c r="AI372" s="100">
        <f t="shared" si="186"/>
        <v>29.025952127</v>
      </c>
      <c r="AJ372" s="100">
        <f t="shared" si="187"/>
        <v>47.576299102</v>
      </c>
    </row>
    <row r="373" spans="1:36" x14ac:dyDescent="0.2">
      <c r="A373" s="8">
        <v>40.131</v>
      </c>
      <c r="B373" s="100">
        <v>29.026818736999999</v>
      </c>
      <c r="C373" s="100">
        <v>47.572911509000001</v>
      </c>
      <c r="D373" s="101">
        <v>40131.074789244201</v>
      </c>
      <c r="E373" s="42" t="str">
        <f t="shared" si="159"/>
        <v/>
      </c>
      <c r="F373" s="7" t="str">
        <f t="shared" si="160"/>
        <v/>
      </c>
      <c r="G373" s="100" t="str">
        <f t="shared" si="161"/>
        <v/>
      </c>
      <c r="H373" s="100" t="str">
        <f t="shared" si="162"/>
        <v/>
      </c>
      <c r="I373" s="100" t="str">
        <f t="shared" si="163"/>
        <v/>
      </c>
      <c r="J373" s="100" t="str">
        <f t="shared" si="164"/>
        <v/>
      </c>
      <c r="K373" s="102" t="str">
        <f t="shared" si="165"/>
        <v/>
      </c>
      <c r="L373" s="103" t="str">
        <f t="shared" si="166"/>
        <v/>
      </c>
      <c r="M373" s="103" t="str">
        <f t="shared" si="167"/>
        <v/>
      </c>
      <c r="N373" s="103" t="str">
        <f t="shared" si="168"/>
        <v/>
      </c>
      <c r="O373" s="103" t="str">
        <f t="shared" si="169"/>
        <v/>
      </c>
      <c r="P373" s="105" t="str">
        <f t="shared" si="170"/>
        <v/>
      </c>
      <c r="Q373" s="105" t="str">
        <f t="shared" si="171"/>
        <v/>
      </c>
      <c r="R373" s="104" t="str">
        <f t="shared" si="172"/>
        <v/>
      </c>
      <c r="S373" s="104" t="str">
        <f t="shared" si="173"/>
        <v/>
      </c>
      <c r="T373" s="105" t="str">
        <f t="shared" si="174"/>
        <v/>
      </c>
      <c r="U373" s="14" t="str">
        <f t="shared" si="175"/>
        <v/>
      </c>
      <c r="V373" s="14" t="str">
        <f t="shared" si="176"/>
        <v/>
      </c>
      <c r="W373" s="103" t="str">
        <f t="shared" si="177"/>
        <v/>
      </c>
      <c r="X373" s="103" t="str">
        <f t="shared" si="178"/>
        <v/>
      </c>
      <c r="Y373" s="100" t="str">
        <f t="shared" si="179"/>
        <v/>
      </c>
      <c r="Z373" s="100" t="str">
        <f t="shared" si="180"/>
        <v/>
      </c>
      <c r="AA373" s="100" t="e">
        <f t="shared" si="181"/>
        <v>#VALUE!</v>
      </c>
      <c r="AB373" s="100" t="e">
        <f t="shared" si="182"/>
        <v>#VALUE!</v>
      </c>
      <c r="AC373" s="100" t="e">
        <f t="shared" si="183"/>
        <v>#VALUE!</v>
      </c>
      <c r="AD373" s="100" t="e">
        <f t="shared" si="184"/>
        <v>#VALUE!</v>
      </c>
      <c r="AE373" s="8" t="str">
        <f t="shared" si="157"/>
        <v/>
      </c>
      <c r="AF373" s="8" t="str">
        <f t="shared" si="158"/>
        <v/>
      </c>
      <c r="AG373" s="7" t="str">
        <f t="shared" si="185"/>
        <v>Good</v>
      </c>
      <c r="AI373" s="100">
        <f t="shared" si="186"/>
        <v>29.026818736999999</v>
      </c>
      <c r="AJ373" s="100">
        <f t="shared" si="187"/>
        <v>47.572911509000001</v>
      </c>
    </row>
    <row r="374" spans="1:36" x14ac:dyDescent="0.2">
      <c r="A374" s="8">
        <v>40.139000000000003</v>
      </c>
      <c r="B374" s="100">
        <v>29.026837062999999</v>
      </c>
      <c r="C374" s="100">
        <v>47.572835421999997</v>
      </c>
      <c r="D374" s="101">
        <v>40138.742346422499</v>
      </c>
      <c r="E374" s="42" t="str">
        <f t="shared" si="159"/>
        <v/>
      </c>
      <c r="F374" s="7" t="str">
        <f t="shared" si="160"/>
        <v/>
      </c>
      <c r="G374" s="100" t="str">
        <f t="shared" si="161"/>
        <v/>
      </c>
      <c r="H374" s="100" t="str">
        <f t="shared" si="162"/>
        <v/>
      </c>
      <c r="I374" s="100" t="str">
        <f t="shared" si="163"/>
        <v/>
      </c>
      <c r="J374" s="100" t="str">
        <f t="shared" si="164"/>
        <v/>
      </c>
      <c r="K374" s="102" t="str">
        <f t="shared" si="165"/>
        <v/>
      </c>
      <c r="L374" s="103" t="str">
        <f t="shared" si="166"/>
        <v/>
      </c>
      <c r="M374" s="103" t="str">
        <f t="shared" si="167"/>
        <v/>
      </c>
      <c r="N374" s="103" t="str">
        <f t="shared" si="168"/>
        <v/>
      </c>
      <c r="O374" s="103" t="str">
        <f t="shared" si="169"/>
        <v/>
      </c>
      <c r="P374" s="105" t="str">
        <f t="shared" si="170"/>
        <v/>
      </c>
      <c r="Q374" s="105" t="str">
        <f t="shared" si="171"/>
        <v/>
      </c>
      <c r="R374" s="104" t="str">
        <f t="shared" si="172"/>
        <v/>
      </c>
      <c r="S374" s="104" t="str">
        <f t="shared" si="173"/>
        <v/>
      </c>
      <c r="T374" s="105" t="str">
        <f t="shared" si="174"/>
        <v/>
      </c>
      <c r="U374" s="14" t="str">
        <f t="shared" si="175"/>
        <v/>
      </c>
      <c r="V374" s="14" t="str">
        <f t="shared" si="176"/>
        <v/>
      </c>
      <c r="W374" s="103" t="str">
        <f t="shared" si="177"/>
        <v/>
      </c>
      <c r="X374" s="103" t="str">
        <f t="shared" si="178"/>
        <v/>
      </c>
      <c r="Y374" s="100" t="str">
        <f t="shared" si="179"/>
        <v/>
      </c>
      <c r="Z374" s="100" t="str">
        <f t="shared" si="180"/>
        <v/>
      </c>
      <c r="AA374" s="100" t="e">
        <f t="shared" si="181"/>
        <v>#VALUE!</v>
      </c>
      <c r="AB374" s="100" t="e">
        <f t="shared" si="182"/>
        <v>#VALUE!</v>
      </c>
      <c r="AC374" s="100" t="e">
        <f t="shared" si="183"/>
        <v>#VALUE!</v>
      </c>
      <c r="AD374" s="100" t="e">
        <f t="shared" si="184"/>
        <v>#VALUE!</v>
      </c>
      <c r="AE374" s="8" t="str">
        <f t="shared" si="157"/>
        <v/>
      </c>
      <c r="AF374" s="8" t="str">
        <f t="shared" si="158"/>
        <v/>
      </c>
      <c r="AG374" s="7" t="str">
        <f t="shared" si="185"/>
        <v>Good</v>
      </c>
      <c r="AI374" s="100">
        <f t="shared" si="186"/>
        <v>29.026837062999999</v>
      </c>
      <c r="AJ374" s="100">
        <f t="shared" si="187"/>
        <v>47.572835421999997</v>
      </c>
    </row>
    <row r="375" spans="1:36" x14ac:dyDescent="0.2">
      <c r="A375" s="8">
        <v>40.159999999999997</v>
      </c>
      <c r="B375" s="100">
        <v>29.026892863</v>
      </c>
      <c r="C375" s="100">
        <v>47.572628102000003</v>
      </c>
      <c r="D375" s="101">
        <v>40159.81846890656</v>
      </c>
      <c r="E375" s="42" t="str">
        <f t="shared" si="159"/>
        <v/>
      </c>
      <c r="F375" s="7" t="str">
        <f t="shared" si="160"/>
        <v/>
      </c>
      <c r="G375" s="100" t="str">
        <f t="shared" si="161"/>
        <v/>
      </c>
      <c r="H375" s="100" t="str">
        <f t="shared" si="162"/>
        <v/>
      </c>
      <c r="I375" s="100" t="str">
        <f t="shared" si="163"/>
        <v/>
      </c>
      <c r="J375" s="100" t="str">
        <f t="shared" si="164"/>
        <v/>
      </c>
      <c r="K375" s="102" t="str">
        <f t="shared" si="165"/>
        <v/>
      </c>
      <c r="L375" s="103" t="str">
        <f t="shared" si="166"/>
        <v/>
      </c>
      <c r="M375" s="103" t="str">
        <f t="shared" si="167"/>
        <v/>
      </c>
      <c r="N375" s="103" t="str">
        <f t="shared" si="168"/>
        <v/>
      </c>
      <c r="O375" s="103" t="str">
        <f t="shared" si="169"/>
        <v/>
      </c>
      <c r="P375" s="105" t="str">
        <f t="shared" si="170"/>
        <v/>
      </c>
      <c r="Q375" s="105" t="str">
        <f t="shared" si="171"/>
        <v/>
      </c>
      <c r="R375" s="104" t="str">
        <f t="shared" si="172"/>
        <v/>
      </c>
      <c r="S375" s="104" t="str">
        <f t="shared" si="173"/>
        <v/>
      </c>
      <c r="T375" s="105" t="str">
        <f t="shared" si="174"/>
        <v/>
      </c>
      <c r="U375" s="14" t="str">
        <f t="shared" si="175"/>
        <v/>
      </c>
      <c r="V375" s="14" t="str">
        <f t="shared" si="176"/>
        <v/>
      </c>
      <c r="W375" s="103" t="str">
        <f t="shared" si="177"/>
        <v/>
      </c>
      <c r="X375" s="103" t="str">
        <f t="shared" si="178"/>
        <v/>
      </c>
      <c r="Y375" s="100" t="str">
        <f t="shared" si="179"/>
        <v/>
      </c>
      <c r="Z375" s="100" t="str">
        <f t="shared" si="180"/>
        <v/>
      </c>
      <c r="AA375" s="100" t="e">
        <f t="shared" si="181"/>
        <v>#VALUE!</v>
      </c>
      <c r="AB375" s="100" t="e">
        <f t="shared" si="182"/>
        <v>#VALUE!</v>
      </c>
      <c r="AC375" s="100" t="e">
        <f t="shared" si="183"/>
        <v>#VALUE!</v>
      </c>
      <c r="AD375" s="100" t="e">
        <f t="shared" si="184"/>
        <v>#VALUE!</v>
      </c>
      <c r="AE375" s="8" t="str">
        <f t="shared" si="157"/>
        <v/>
      </c>
      <c r="AF375" s="8" t="str">
        <f t="shared" si="158"/>
        <v/>
      </c>
      <c r="AG375" s="7" t="str">
        <f t="shared" si="185"/>
        <v>Good</v>
      </c>
      <c r="AI375" s="100">
        <f t="shared" si="186"/>
        <v>29.026892863</v>
      </c>
      <c r="AJ375" s="100">
        <f t="shared" si="187"/>
        <v>47.572628102000003</v>
      </c>
    </row>
    <row r="376" spans="1:36" x14ac:dyDescent="0.2">
      <c r="A376" s="8">
        <v>40.167999999999999</v>
      </c>
      <c r="B376" s="100">
        <v>29.026912198000002</v>
      </c>
      <c r="C376" s="100">
        <v>47.572550200999999</v>
      </c>
      <c r="D376" s="101">
        <v>40167.686481040131</v>
      </c>
      <c r="E376" s="42" t="str">
        <f t="shared" si="159"/>
        <v/>
      </c>
      <c r="F376" s="7" t="str">
        <f t="shared" si="160"/>
        <v/>
      </c>
      <c r="G376" s="100" t="str">
        <f t="shared" si="161"/>
        <v/>
      </c>
      <c r="H376" s="100" t="str">
        <f t="shared" si="162"/>
        <v/>
      </c>
      <c r="I376" s="100" t="str">
        <f t="shared" si="163"/>
        <v/>
      </c>
      <c r="J376" s="100" t="str">
        <f t="shared" si="164"/>
        <v/>
      </c>
      <c r="K376" s="102" t="str">
        <f t="shared" si="165"/>
        <v/>
      </c>
      <c r="L376" s="103" t="str">
        <f t="shared" si="166"/>
        <v/>
      </c>
      <c r="M376" s="103" t="str">
        <f t="shared" si="167"/>
        <v/>
      </c>
      <c r="N376" s="103" t="str">
        <f t="shared" si="168"/>
        <v/>
      </c>
      <c r="O376" s="103" t="str">
        <f t="shared" si="169"/>
        <v/>
      </c>
      <c r="P376" s="105" t="str">
        <f t="shared" si="170"/>
        <v/>
      </c>
      <c r="Q376" s="105" t="str">
        <f t="shared" si="171"/>
        <v/>
      </c>
      <c r="R376" s="104" t="str">
        <f t="shared" si="172"/>
        <v/>
      </c>
      <c r="S376" s="104" t="str">
        <f t="shared" si="173"/>
        <v/>
      </c>
      <c r="T376" s="105" t="str">
        <f t="shared" si="174"/>
        <v/>
      </c>
      <c r="U376" s="14" t="str">
        <f t="shared" si="175"/>
        <v/>
      </c>
      <c r="V376" s="14" t="str">
        <f t="shared" si="176"/>
        <v/>
      </c>
      <c r="W376" s="103" t="str">
        <f t="shared" si="177"/>
        <v/>
      </c>
      <c r="X376" s="103" t="str">
        <f t="shared" si="178"/>
        <v/>
      </c>
      <c r="Y376" s="100" t="str">
        <f t="shared" si="179"/>
        <v/>
      </c>
      <c r="Z376" s="100" t="str">
        <f t="shared" si="180"/>
        <v/>
      </c>
      <c r="AA376" s="100" t="e">
        <f t="shared" si="181"/>
        <v>#VALUE!</v>
      </c>
      <c r="AB376" s="100" t="e">
        <f t="shared" si="182"/>
        <v>#VALUE!</v>
      </c>
      <c r="AC376" s="100" t="e">
        <f t="shared" si="183"/>
        <v>#VALUE!</v>
      </c>
      <c r="AD376" s="100" t="e">
        <f t="shared" si="184"/>
        <v>#VALUE!</v>
      </c>
      <c r="AE376" s="8" t="str">
        <f t="shared" si="157"/>
        <v/>
      </c>
      <c r="AF376" s="8" t="str">
        <f t="shared" si="158"/>
        <v/>
      </c>
      <c r="AG376" s="7" t="str">
        <f t="shared" si="185"/>
        <v>Good</v>
      </c>
      <c r="AI376" s="100">
        <f t="shared" si="186"/>
        <v>29.026912198000002</v>
      </c>
      <c r="AJ376" s="100">
        <f t="shared" si="187"/>
        <v>47.572550200999999</v>
      </c>
    </row>
    <row r="377" spans="1:36" x14ac:dyDescent="0.2">
      <c r="A377" s="8">
        <v>40.183999999999997</v>
      </c>
      <c r="B377" s="100">
        <v>29.026950968000001</v>
      </c>
      <c r="C377" s="100">
        <v>47.572392462000003</v>
      </c>
      <c r="D377" s="101">
        <v>40183.606462190241</v>
      </c>
      <c r="E377" s="42" t="str">
        <f t="shared" si="159"/>
        <v/>
      </c>
      <c r="F377" s="7" t="str">
        <f t="shared" si="160"/>
        <v/>
      </c>
      <c r="G377" s="100" t="str">
        <f t="shared" si="161"/>
        <v/>
      </c>
      <c r="H377" s="100" t="str">
        <f t="shared" si="162"/>
        <v/>
      </c>
      <c r="I377" s="100" t="str">
        <f t="shared" si="163"/>
        <v/>
      </c>
      <c r="J377" s="100" t="str">
        <f t="shared" si="164"/>
        <v/>
      </c>
      <c r="K377" s="102" t="str">
        <f t="shared" si="165"/>
        <v/>
      </c>
      <c r="L377" s="103" t="str">
        <f t="shared" si="166"/>
        <v/>
      </c>
      <c r="M377" s="103" t="str">
        <f t="shared" si="167"/>
        <v/>
      </c>
      <c r="N377" s="103" t="str">
        <f t="shared" si="168"/>
        <v/>
      </c>
      <c r="O377" s="103" t="str">
        <f t="shared" si="169"/>
        <v/>
      </c>
      <c r="P377" s="105" t="str">
        <f t="shared" si="170"/>
        <v/>
      </c>
      <c r="Q377" s="105" t="str">
        <f t="shared" si="171"/>
        <v/>
      </c>
      <c r="R377" s="104" t="str">
        <f t="shared" si="172"/>
        <v/>
      </c>
      <c r="S377" s="104" t="str">
        <f t="shared" si="173"/>
        <v/>
      </c>
      <c r="T377" s="105" t="str">
        <f t="shared" si="174"/>
        <v/>
      </c>
      <c r="U377" s="14" t="str">
        <f t="shared" si="175"/>
        <v/>
      </c>
      <c r="V377" s="14" t="str">
        <f t="shared" si="176"/>
        <v/>
      </c>
      <c r="W377" s="103" t="str">
        <f t="shared" si="177"/>
        <v/>
      </c>
      <c r="X377" s="103" t="str">
        <f t="shared" si="178"/>
        <v/>
      </c>
      <c r="Y377" s="100" t="str">
        <f t="shared" si="179"/>
        <v/>
      </c>
      <c r="Z377" s="100" t="str">
        <f t="shared" si="180"/>
        <v/>
      </c>
      <c r="AA377" s="100" t="e">
        <f t="shared" si="181"/>
        <v>#VALUE!</v>
      </c>
      <c r="AB377" s="100" t="e">
        <f t="shared" si="182"/>
        <v>#VALUE!</v>
      </c>
      <c r="AC377" s="100" t="e">
        <f t="shared" si="183"/>
        <v>#VALUE!</v>
      </c>
      <c r="AD377" s="100" t="e">
        <f t="shared" si="184"/>
        <v>#VALUE!</v>
      </c>
      <c r="AE377" s="8" t="str">
        <f t="shared" si="157"/>
        <v/>
      </c>
      <c r="AF377" s="8" t="str">
        <f t="shared" si="158"/>
        <v/>
      </c>
      <c r="AG377" s="7" t="str">
        <f t="shared" si="185"/>
        <v>Good</v>
      </c>
      <c r="AI377" s="100">
        <f t="shared" si="186"/>
        <v>29.026950968000001</v>
      </c>
      <c r="AJ377" s="100">
        <f t="shared" si="187"/>
        <v>47.572392462000003</v>
      </c>
    </row>
    <row r="378" spans="1:36" x14ac:dyDescent="0.2">
      <c r="A378" s="8">
        <v>40.195</v>
      </c>
      <c r="B378" s="100">
        <v>29.026980405</v>
      </c>
      <c r="C378" s="100">
        <v>47.572278058999999</v>
      </c>
      <c r="D378" s="101">
        <v>40195.193171799212</v>
      </c>
      <c r="E378" s="42" t="str">
        <f t="shared" si="159"/>
        <v/>
      </c>
      <c r="F378" s="7" t="str">
        <f t="shared" si="160"/>
        <v/>
      </c>
      <c r="G378" s="100" t="str">
        <f t="shared" si="161"/>
        <v/>
      </c>
      <c r="H378" s="100" t="str">
        <f t="shared" si="162"/>
        <v/>
      </c>
      <c r="I378" s="100" t="str">
        <f t="shared" si="163"/>
        <v/>
      </c>
      <c r="J378" s="100" t="str">
        <f t="shared" si="164"/>
        <v/>
      </c>
      <c r="K378" s="102" t="str">
        <f t="shared" si="165"/>
        <v/>
      </c>
      <c r="L378" s="103" t="str">
        <f t="shared" si="166"/>
        <v/>
      </c>
      <c r="M378" s="103" t="str">
        <f t="shared" si="167"/>
        <v/>
      </c>
      <c r="N378" s="103" t="str">
        <f t="shared" si="168"/>
        <v/>
      </c>
      <c r="O378" s="103" t="str">
        <f t="shared" si="169"/>
        <v/>
      </c>
      <c r="P378" s="105" t="str">
        <f t="shared" si="170"/>
        <v/>
      </c>
      <c r="Q378" s="105" t="str">
        <f t="shared" si="171"/>
        <v/>
      </c>
      <c r="R378" s="104" t="str">
        <f t="shared" si="172"/>
        <v/>
      </c>
      <c r="S378" s="104" t="str">
        <f t="shared" si="173"/>
        <v/>
      </c>
      <c r="T378" s="105" t="str">
        <f t="shared" si="174"/>
        <v/>
      </c>
      <c r="U378" s="14" t="str">
        <f t="shared" si="175"/>
        <v/>
      </c>
      <c r="V378" s="14" t="str">
        <f t="shared" si="176"/>
        <v/>
      </c>
      <c r="W378" s="103" t="str">
        <f t="shared" si="177"/>
        <v/>
      </c>
      <c r="X378" s="103" t="str">
        <f t="shared" si="178"/>
        <v/>
      </c>
      <c r="Y378" s="100" t="str">
        <f t="shared" si="179"/>
        <v/>
      </c>
      <c r="Z378" s="100" t="str">
        <f t="shared" si="180"/>
        <v/>
      </c>
      <c r="AA378" s="100" t="e">
        <f t="shared" si="181"/>
        <v>#VALUE!</v>
      </c>
      <c r="AB378" s="100" t="e">
        <f t="shared" si="182"/>
        <v>#VALUE!</v>
      </c>
      <c r="AC378" s="100" t="e">
        <f t="shared" si="183"/>
        <v>#VALUE!</v>
      </c>
      <c r="AD378" s="100" t="e">
        <f t="shared" si="184"/>
        <v>#VALUE!</v>
      </c>
      <c r="AE378" s="8" t="str">
        <f t="shared" si="157"/>
        <v/>
      </c>
      <c r="AF378" s="8" t="str">
        <f t="shared" si="158"/>
        <v/>
      </c>
      <c r="AG378" s="7" t="str">
        <f t="shared" si="185"/>
        <v>Good</v>
      </c>
      <c r="AI378" s="100">
        <f t="shared" si="186"/>
        <v>29.026980405</v>
      </c>
      <c r="AJ378" s="100">
        <f t="shared" si="187"/>
        <v>47.572278058999999</v>
      </c>
    </row>
    <row r="379" spans="1:36" x14ac:dyDescent="0.2">
      <c r="A379" s="8">
        <v>40.265999999999998</v>
      </c>
      <c r="B379" s="100">
        <v>29.027146298000002</v>
      </c>
      <c r="C379" s="100">
        <v>47.571572865999997</v>
      </c>
      <c r="D379" s="101">
        <v>40266.14762189913</v>
      </c>
      <c r="E379" s="42" t="str">
        <f t="shared" si="159"/>
        <v/>
      </c>
      <c r="F379" s="7" t="str">
        <f t="shared" si="160"/>
        <v/>
      </c>
      <c r="G379" s="100" t="str">
        <f t="shared" si="161"/>
        <v/>
      </c>
      <c r="H379" s="100" t="str">
        <f t="shared" si="162"/>
        <v/>
      </c>
      <c r="I379" s="100" t="str">
        <f t="shared" si="163"/>
        <v/>
      </c>
      <c r="J379" s="100" t="str">
        <f t="shared" si="164"/>
        <v/>
      </c>
      <c r="K379" s="102" t="str">
        <f t="shared" si="165"/>
        <v/>
      </c>
      <c r="L379" s="103" t="str">
        <f t="shared" si="166"/>
        <v/>
      </c>
      <c r="M379" s="103" t="str">
        <f t="shared" si="167"/>
        <v/>
      </c>
      <c r="N379" s="103" t="str">
        <f t="shared" si="168"/>
        <v/>
      </c>
      <c r="O379" s="103" t="str">
        <f t="shared" si="169"/>
        <v/>
      </c>
      <c r="P379" s="105" t="str">
        <f t="shared" si="170"/>
        <v/>
      </c>
      <c r="Q379" s="105" t="str">
        <f t="shared" si="171"/>
        <v/>
      </c>
      <c r="R379" s="104" t="str">
        <f t="shared" si="172"/>
        <v/>
      </c>
      <c r="S379" s="104" t="str">
        <f t="shared" si="173"/>
        <v/>
      </c>
      <c r="T379" s="105" t="str">
        <f t="shared" si="174"/>
        <v/>
      </c>
      <c r="U379" s="14" t="str">
        <f t="shared" si="175"/>
        <v/>
      </c>
      <c r="V379" s="14" t="str">
        <f t="shared" si="176"/>
        <v/>
      </c>
      <c r="W379" s="103" t="str">
        <f t="shared" si="177"/>
        <v/>
      </c>
      <c r="X379" s="103" t="str">
        <f t="shared" si="178"/>
        <v/>
      </c>
      <c r="Y379" s="100" t="str">
        <f t="shared" si="179"/>
        <v/>
      </c>
      <c r="Z379" s="100" t="str">
        <f t="shared" si="180"/>
        <v/>
      </c>
      <c r="AA379" s="100" t="e">
        <f t="shared" si="181"/>
        <v>#VALUE!</v>
      </c>
      <c r="AB379" s="100" t="e">
        <f t="shared" si="182"/>
        <v>#VALUE!</v>
      </c>
      <c r="AC379" s="100" t="e">
        <f t="shared" si="183"/>
        <v>#VALUE!</v>
      </c>
      <c r="AD379" s="100" t="e">
        <f t="shared" si="184"/>
        <v>#VALUE!</v>
      </c>
      <c r="AE379" s="8" t="str">
        <f t="shared" si="157"/>
        <v/>
      </c>
      <c r="AF379" s="8" t="str">
        <f t="shared" si="158"/>
        <v/>
      </c>
      <c r="AG379" s="7" t="str">
        <f t="shared" si="185"/>
        <v>Good</v>
      </c>
      <c r="AI379" s="100">
        <f t="shared" si="186"/>
        <v>29.027146298000002</v>
      </c>
      <c r="AJ379" s="100">
        <f t="shared" si="187"/>
        <v>47.571572865999997</v>
      </c>
    </row>
    <row r="380" spans="1:36" x14ac:dyDescent="0.2">
      <c r="A380" s="8">
        <v>40.42</v>
      </c>
      <c r="B380" s="100">
        <v>29.027471117000001</v>
      </c>
      <c r="C380" s="100">
        <v>47.570028350999998</v>
      </c>
      <c r="D380" s="101">
        <v>40420.495058352637</v>
      </c>
      <c r="E380" s="42" t="str">
        <f t="shared" si="159"/>
        <v/>
      </c>
      <c r="F380" s="7" t="str">
        <f t="shared" si="160"/>
        <v/>
      </c>
      <c r="G380" s="100" t="str">
        <f t="shared" si="161"/>
        <v/>
      </c>
      <c r="H380" s="100" t="str">
        <f t="shared" si="162"/>
        <v/>
      </c>
      <c r="I380" s="100" t="str">
        <f t="shared" si="163"/>
        <v/>
      </c>
      <c r="J380" s="100" t="str">
        <f t="shared" si="164"/>
        <v/>
      </c>
      <c r="K380" s="102" t="str">
        <f t="shared" si="165"/>
        <v/>
      </c>
      <c r="L380" s="103" t="str">
        <f t="shared" si="166"/>
        <v/>
      </c>
      <c r="M380" s="103" t="str">
        <f t="shared" si="167"/>
        <v/>
      </c>
      <c r="N380" s="103" t="str">
        <f t="shared" si="168"/>
        <v/>
      </c>
      <c r="O380" s="103" t="str">
        <f t="shared" si="169"/>
        <v/>
      </c>
      <c r="P380" s="105" t="str">
        <f t="shared" si="170"/>
        <v/>
      </c>
      <c r="Q380" s="105" t="str">
        <f t="shared" si="171"/>
        <v/>
      </c>
      <c r="R380" s="104" t="str">
        <f t="shared" si="172"/>
        <v/>
      </c>
      <c r="S380" s="104" t="str">
        <f t="shared" si="173"/>
        <v/>
      </c>
      <c r="T380" s="105" t="str">
        <f t="shared" si="174"/>
        <v/>
      </c>
      <c r="U380" s="14" t="str">
        <f t="shared" si="175"/>
        <v/>
      </c>
      <c r="V380" s="14" t="str">
        <f t="shared" si="176"/>
        <v/>
      </c>
      <c r="W380" s="103" t="str">
        <f t="shared" si="177"/>
        <v/>
      </c>
      <c r="X380" s="103" t="str">
        <f t="shared" si="178"/>
        <v/>
      </c>
      <c r="Y380" s="100" t="str">
        <f t="shared" si="179"/>
        <v/>
      </c>
      <c r="Z380" s="100" t="str">
        <f t="shared" si="180"/>
        <v/>
      </c>
      <c r="AA380" s="100" t="e">
        <f t="shared" si="181"/>
        <v>#VALUE!</v>
      </c>
      <c r="AB380" s="100" t="e">
        <f t="shared" si="182"/>
        <v>#VALUE!</v>
      </c>
      <c r="AC380" s="100" t="e">
        <f t="shared" si="183"/>
        <v>#VALUE!</v>
      </c>
      <c r="AD380" s="100" t="e">
        <f t="shared" si="184"/>
        <v>#VALUE!</v>
      </c>
      <c r="AE380" s="8" t="str">
        <f t="shared" si="157"/>
        <v/>
      </c>
      <c r="AF380" s="8" t="str">
        <f t="shared" si="158"/>
        <v/>
      </c>
      <c r="AG380" s="7" t="str">
        <f t="shared" si="185"/>
        <v>Good</v>
      </c>
      <c r="AI380" s="100">
        <f t="shared" si="186"/>
        <v>29.027471117000001</v>
      </c>
      <c r="AJ380" s="100">
        <f t="shared" si="187"/>
        <v>47.570028350999998</v>
      </c>
    </row>
    <row r="381" spans="1:36" x14ac:dyDescent="0.2">
      <c r="A381" s="8">
        <v>40.508000000000003</v>
      </c>
      <c r="B381" s="100">
        <v>29.027674041000001</v>
      </c>
      <c r="C381" s="100">
        <v>47.569160654999997</v>
      </c>
      <c r="D381" s="101">
        <v>40507.765177732777</v>
      </c>
      <c r="E381" s="42" t="str">
        <f t="shared" si="159"/>
        <v/>
      </c>
      <c r="F381" s="7" t="str">
        <f t="shared" si="160"/>
        <v/>
      </c>
      <c r="G381" s="100" t="str">
        <f t="shared" si="161"/>
        <v/>
      </c>
      <c r="H381" s="100" t="str">
        <f t="shared" si="162"/>
        <v/>
      </c>
      <c r="I381" s="100" t="str">
        <f t="shared" si="163"/>
        <v/>
      </c>
      <c r="J381" s="100" t="str">
        <f t="shared" si="164"/>
        <v/>
      </c>
      <c r="K381" s="102" t="str">
        <f t="shared" si="165"/>
        <v/>
      </c>
      <c r="L381" s="103" t="str">
        <f t="shared" si="166"/>
        <v/>
      </c>
      <c r="M381" s="103" t="str">
        <f t="shared" si="167"/>
        <v/>
      </c>
      <c r="N381" s="103" t="str">
        <f t="shared" si="168"/>
        <v/>
      </c>
      <c r="O381" s="103" t="str">
        <f t="shared" si="169"/>
        <v/>
      </c>
      <c r="P381" s="105" t="str">
        <f t="shared" si="170"/>
        <v/>
      </c>
      <c r="Q381" s="105" t="str">
        <f t="shared" si="171"/>
        <v/>
      </c>
      <c r="R381" s="104" t="str">
        <f t="shared" si="172"/>
        <v/>
      </c>
      <c r="S381" s="104" t="str">
        <f t="shared" si="173"/>
        <v/>
      </c>
      <c r="T381" s="105" t="str">
        <f t="shared" si="174"/>
        <v/>
      </c>
      <c r="U381" s="14" t="str">
        <f t="shared" si="175"/>
        <v/>
      </c>
      <c r="V381" s="14" t="str">
        <f t="shared" si="176"/>
        <v/>
      </c>
      <c r="W381" s="103" t="str">
        <f t="shared" si="177"/>
        <v/>
      </c>
      <c r="X381" s="103" t="str">
        <f t="shared" si="178"/>
        <v/>
      </c>
      <c r="Y381" s="100" t="str">
        <f t="shared" si="179"/>
        <v/>
      </c>
      <c r="Z381" s="100" t="str">
        <f t="shared" si="180"/>
        <v/>
      </c>
      <c r="AA381" s="100" t="e">
        <f t="shared" si="181"/>
        <v>#VALUE!</v>
      </c>
      <c r="AB381" s="100" t="e">
        <f t="shared" si="182"/>
        <v>#VALUE!</v>
      </c>
      <c r="AC381" s="100" t="e">
        <f t="shared" si="183"/>
        <v>#VALUE!</v>
      </c>
      <c r="AD381" s="100" t="e">
        <f t="shared" si="184"/>
        <v>#VALUE!</v>
      </c>
      <c r="AE381" s="8" t="str">
        <f t="shared" si="157"/>
        <v/>
      </c>
      <c r="AF381" s="8" t="str">
        <f t="shared" si="158"/>
        <v/>
      </c>
      <c r="AG381" s="7" t="str">
        <f t="shared" si="185"/>
        <v>Good</v>
      </c>
      <c r="AI381" s="100">
        <f t="shared" si="186"/>
        <v>29.027674041000001</v>
      </c>
      <c r="AJ381" s="100">
        <f t="shared" si="187"/>
        <v>47.569160654999997</v>
      </c>
    </row>
    <row r="382" spans="1:36" x14ac:dyDescent="0.2">
      <c r="A382" s="8">
        <v>40.514000000000003</v>
      </c>
      <c r="B382" s="100">
        <v>29.027689055</v>
      </c>
      <c r="C382" s="100">
        <v>47.569094047</v>
      </c>
      <c r="D382" s="101">
        <v>40514.448710364937</v>
      </c>
      <c r="E382" s="42" t="str">
        <f t="shared" si="159"/>
        <v/>
      </c>
      <c r="F382" s="7" t="str">
        <f t="shared" si="160"/>
        <v/>
      </c>
      <c r="G382" s="100" t="str">
        <f t="shared" si="161"/>
        <v/>
      </c>
      <c r="H382" s="100" t="str">
        <f t="shared" si="162"/>
        <v/>
      </c>
      <c r="I382" s="100" t="str">
        <f t="shared" si="163"/>
        <v/>
      </c>
      <c r="J382" s="100" t="str">
        <f t="shared" si="164"/>
        <v/>
      </c>
      <c r="K382" s="102" t="str">
        <f t="shared" si="165"/>
        <v/>
      </c>
      <c r="L382" s="103" t="str">
        <f t="shared" si="166"/>
        <v/>
      </c>
      <c r="M382" s="103" t="str">
        <f t="shared" si="167"/>
        <v/>
      </c>
      <c r="N382" s="103" t="str">
        <f t="shared" si="168"/>
        <v/>
      </c>
      <c r="O382" s="103" t="str">
        <f t="shared" si="169"/>
        <v/>
      </c>
      <c r="P382" s="105" t="str">
        <f t="shared" si="170"/>
        <v/>
      </c>
      <c r="Q382" s="105" t="str">
        <f t="shared" si="171"/>
        <v/>
      </c>
      <c r="R382" s="104" t="str">
        <f t="shared" si="172"/>
        <v/>
      </c>
      <c r="S382" s="104" t="str">
        <f t="shared" si="173"/>
        <v/>
      </c>
      <c r="T382" s="105" t="str">
        <f t="shared" si="174"/>
        <v/>
      </c>
      <c r="U382" s="14" t="str">
        <f t="shared" si="175"/>
        <v/>
      </c>
      <c r="V382" s="14" t="str">
        <f t="shared" si="176"/>
        <v/>
      </c>
      <c r="W382" s="103" t="str">
        <f t="shared" si="177"/>
        <v/>
      </c>
      <c r="X382" s="103" t="str">
        <f t="shared" si="178"/>
        <v/>
      </c>
      <c r="Y382" s="100" t="str">
        <f t="shared" si="179"/>
        <v/>
      </c>
      <c r="Z382" s="100" t="str">
        <f t="shared" si="180"/>
        <v/>
      </c>
      <c r="AA382" s="100" t="e">
        <f t="shared" si="181"/>
        <v>#VALUE!</v>
      </c>
      <c r="AB382" s="100" t="e">
        <f t="shared" si="182"/>
        <v>#VALUE!</v>
      </c>
      <c r="AC382" s="100" t="e">
        <f t="shared" si="183"/>
        <v>#VALUE!</v>
      </c>
      <c r="AD382" s="100" t="e">
        <f t="shared" si="184"/>
        <v>#VALUE!</v>
      </c>
      <c r="AE382" s="8" t="str">
        <f t="shared" si="157"/>
        <v/>
      </c>
      <c r="AF382" s="8" t="str">
        <f t="shared" si="158"/>
        <v/>
      </c>
      <c r="AG382" s="7" t="str">
        <f t="shared" si="185"/>
        <v>Good</v>
      </c>
      <c r="AI382" s="100">
        <f t="shared" si="186"/>
        <v>29.027689055</v>
      </c>
      <c r="AJ382" s="100">
        <f t="shared" si="187"/>
        <v>47.569094047</v>
      </c>
    </row>
    <row r="383" spans="1:36" x14ac:dyDescent="0.2">
      <c r="A383" s="8">
        <v>40.543999999999997</v>
      </c>
      <c r="B383" s="100">
        <v>29.027749782000001</v>
      </c>
      <c r="C383" s="100">
        <v>47.568800277999998</v>
      </c>
      <c r="D383" s="101">
        <v>40543.778613764858</v>
      </c>
      <c r="E383" s="42" t="str">
        <f t="shared" si="159"/>
        <v/>
      </c>
      <c r="F383" s="7" t="str">
        <f t="shared" si="160"/>
        <v/>
      </c>
      <c r="G383" s="100" t="str">
        <f t="shared" si="161"/>
        <v/>
      </c>
      <c r="H383" s="100" t="str">
        <f t="shared" si="162"/>
        <v/>
      </c>
      <c r="I383" s="100" t="str">
        <f t="shared" si="163"/>
        <v/>
      </c>
      <c r="J383" s="100" t="str">
        <f t="shared" si="164"/>
        <v/>
      </c>
      <c r="K383" s="102" t="str">
        <f t="shared" si="165"/>
        <v/>
      </c>
      <c r="L383" s="103" t="str">
        <f t="shared" si="166"/>
        <v/>
      </c>
      <c r="M383" s="103" t="str">
        <f t="shared" si="167"/>
        <v/>
      </c>
      <c r="N383" s="103" t="str">
        <f t="shared" si="168"/>
        <v/>
      </c>
      <c r="O383" s="103" t="str">
        <f t="shared" si="169"/>
        <v/>
      </c>
      <c r="P383" s="105" t="str">
        <f t="shared" si="170"/>
        <v/>
      </c>
      <c r="Q383" s="105" t="str">
        <f t="shared" si="171"/>
        <v/>
      </c>
      <c r="R383" s="104" t="str">
        <f t="shared" si="172"/>
        <v/>
      </c>
      <c r="S383" s="104" t="str">
        <f t="shared" si="173"/>
        <v/>
      </c>
      <c r="T383" s="105" t="str">
        <f t="shared" si="174"/>
        <v/>
      </c>
      <c r="U383" s="14" t="str">
        <f t="shared" si="175"/>
        <v/>
      </c>
      <c r="V383" s="14" t="str">
        <f t="shared" si="176"/>
        <v/>
      </c>
      <c r="W383" s="103" t="str">
        <f t="shared" si="177"/>
        <v/>
      </c>
      <c r="X383" s="103" t="str">
        <f t="shared" si="178"/>
        <v/>
      </c>
      <c r="Y383" s="100" t="str">
        <f t="shared" si="179"/>
        <v/>
      </c>
      <c r="Z383" s="100" t="str">
        <f t="shared" si="180"/>
        <v/>
      </c>
      <c r="AA383" s="100" t="e">
        <f t="shared" si="181"/>
        <v>#VALUE!</v>
      </c>
      <c r="AB383" s="100" t="e">
        <f t="shared" si="182"/>
        <v>#VALUE!</v>
      </c>
      <c r="AC383" s="100" t="e">
        <f t="shared" si="183"/>
        <v>#VALUE!</v>
      </c>
      <c r="AD383" s="100" t="e">
        <f t="shared" si="184"/>
        <v>#VALUE!</v>
      </c>
      <c r="AE383" s="8" t="str">
        <f t="shared" si="157"/>
        <v/>
      </c>
      <c r="AF383" s="8" t="str">
        <f t="shared" si="158"/>
        <v/>
      </c>
      <c r="AG383" s="7" t="str">
        <f t="shared" si="185"/>
        <v>Good</v>
      </c>
      <c r="AI383" s="100">
        <f t="shared" si="186"/>
        <v>29.027749782000001</v>
      </c>
      <c r="AJ383" s="100">
        <f t="shared" si="187"/>
        <v>47.568800277999998</v>
      </c>
    </row>
    <row r="384" spans="1:36" x14ac:dyDescent="0.2">
      <c r="A384" s="8">
        <v>40.561999999999998</v>
      </c>
      <c r="B384" s="100">
        <v>29.027793418000002</v>
      </c>
      <c r="C384" s="100">
        <v>47.568623043000002</v>
      </c>
      <c r="D384" s="101">
        <v>40561.668294829069</v>
      </c>
      <c r="E384" s="42" t="str">
        <f t="shared" si="159"/>
        <v/>
      </c>
      <c r="F384" s="7" t="str">
        <f t="shared" si="160"/>
        <v/>
      </c>
      <c r="G384" s="100" t="str">
        <f t="shared" si="161"/>
        <v/>
      </c>
      <c r="H384" s="100" t="str">
        <f t="shared" si="162"/>
        <v/>
      </c>
      <c r="I384" s="100" t="str">
        <f t="shared" si="163"/>
        <v/>
      </c>
      <c r="J384" s="100" t="str">
        <f t="shared" si="164"/>
        <v/>
      </c>
      <c r="K384" s="102" t="str">
        <f t="shared" si="165"/>
        <v/>
      </c>
      <c r="L384" s="103" t="str">
        <f t="shared" si="166"/>
        <v/>
      </c>
      <c r="M384" s="103" t="str">
        <f t="shared" si="167"/>
        <v/>
      </c>
      <c r="N384" s="103" t="str">
        <f t="shared" si="168"/>
        <v/>
      </c>
      <c r="O384" s="103" t="str">
        <f t="shared" si="169"/>
        <v/>
      </c>
      <c r="P384" s="105" t="str">
        <f t="shared" si="170"/>
        <v/>
      </c>
      <c r="Q384" s="105" t="str">
        <f t="shared" si="171"/>
        <v/>
      </c>
      <c r="R384" s="104" t="str">
        <f t="shared" si="172"/>
        <v/>
      </c>
      <c r="S384" s="104" t="str">
        <f t="shared" si="173"/>
        <v/>
      </c>
      <c r="T384" s="105" t="str">
        <f t="shared" si="174"/>
        <v/>
      </c>
      <c r="U384" s="14" t="str">
        <f t="shared" si="175"/>
        <v/>
      </c>
      <c r="V384" s="14" t="str">
        <f t="shared" si="176"/>
        <v/>
      </c>
      <c r="W384" s="103" t="str">
        <f t="shared" si="177"/>
        <v/>
      </c>
      <c r="X384" s="103" t="str">
        <f t="shared" si="178"/>
        <v/>
      </c>
      <c r="Y384" s="100" t="str">
        <f t="shared" si="179"/>
        <v/>
      </c>
      <c r="Z384" s="100" t="str">
        <f t="shared" si="180"/>
        <v/>
      </c>
      <c r="AA384" s="100" t="e">
        <f t="shared" si="181"/>
        <v>#VALUE!</v>
      </c>
      <c r="AB384" s="100" t="e">
        <f t="shared" si="182"/>
        <v>#VALUE!</v>
      </c>
      <c r="AC384" s="100" t="e">
        <f t="shared" si="183"/>
        <v>#VALUE!</v>
      </c>
      <c r="AD384" s="100" t="e">
        <f t="shared" si="184"/>
        <v>#VALUE!</v>
      </c>
      <c r="AE384" s="8" t="str">
        <f t="shared" si="157"/>
        <v/>
      </c>
      <c r="AF384" s="8" t="str">
        <f t="shared" si="158"/>
        <v/>
      </c>
      <c r="AG384" s="7" t="str">
        <f t="shared" si="185"/>
        <v>Good</v>
      </c>
      <c r="AI384" s="100">
        <f t="shared" si="186"/>
        <v>29.027793418000002</v>
      </c>
      <c r="AJ384" s="100">
        <f t="shared" si="187"/>
        <v>47.568623043000002</v>
      </c>
    </row>
    <row r="385" spans="1:36" x14ac:dyDescent="0.2">
      <c r="A385" s="8">
        <v>40.579000000000001</v>
      </c>
      <c r="B385" s="100">
        <v>29.027828091</v>
      </c>
      <c r="C385" s="100">
        <v>47.568445828999998</v>
      </c>
      <c r="D385" s="101">
        <v>40579.312279038444</v>
      </c>
      <c r="E385" s="42" t="str">
        <f t="shared" si="159"/>
        <v/>
      </c>
      <c r="F385" s="7" t="str">
        <f t="shared" si="160"/>
        <v/>
      </c>
      <c r="G385" s="100" t="str">
        <f t="shared" si="161"/>
        <v/>
      </c>
      <c r="H385" s="100" t="str">
        <f t="shared" si="162"/>
        <v/>
      </c>
      <c r="I385" s="100" t="str">
        <f t="shared" si="163"/>
        <v/>
      </c>
      <c r="J385" s="100" t="str">
        <f t="shared" si="164"/>
        <v/>
      </c>
      <c r="K385" s="102" t="str">
        <f t="shared" si="165"/>
        <v/>
      </c>
      <c r="L385" s="103" t="str">
        <f t="shared" si="166"/>
        <v/>
      </c>
      <c r="M385" s="103" t="str">
        <f t="shared" si="167"/>
        <v/>
      </c>
      <c r="N385" s="103" t="str">
        <f t="shared" si="168"/>
        <v/>
      </c>
      <c r="O385" s="103" t="str">
        <f t="shared" si="169"/>
        <v/>
      </c>
      <c r="P385" s="105" t="str">
        <f t="shared" si="170"/>
        <v/>
      </c>
      <c r="Q385" s="105" t="str">
        <f t="shared" si="171"/>
        <v/>
      </c>
      <c r="R385" s="104" t="str">
        <f t="shared" si="172"/>
        <v/>
      </c>
      <c r="S385" s="104" t="str">
        <f t="shared" si="173"/>
        <v/>
      </c>
      <c r="T385" s="105" t="str">
        <f t="shared" si="174"/>
        <v/>
      </c>
      <c r="U385" s="14" t="str">
        <f t="shared" si="175"/>
        <v/>
      </c>
      <c r="V385" s="14" t="str">
        <f t="shared" si="176"/>
        <v/>
      </c>
      <c r="W385" s="103" t="str">
        <f t="shared" si="177"/>
        <v/>
      </c>
      <c r="X385" s="103" t="str">
        <f t="shared" si="178"/>
        <v/>
      </c>
      <c r="Y385" s="100" t="str">
        <f t="shared" si="179"/>
        <v/>
      </c>
      <c r="Z385" s="100" t="str">
        <f t="shared" si="180"/>
        <v/>
      </c>
      <c r="AA385" s="100" t="e">
        <f t="shared" si="181"/>
        <v>#VALUE!</v>
      </c>
      <c r="AB385" s="100" t="e">
        <f t="shared" si="182"/>
        <v>#VALUE!</v>
      </c>
      <c r="AC385" s="100" t="e">
        <f t="shared" si="183"/>
        <v>#VALUE!</v>
      </c>
      <c r="AD385" s="100" t="e">
        <f t="shared" si="184"/>
        <v>#VALUE!</v>
      </c>
      <c r="AE385" s="8" t="str">
        <f t="shared" si="157"/>
        <v/>
      </c>
      <c r="AF385" s="8" t="str">
        <f t="shared" si="158"/>
        <v/>
      </c>
      <c r="AG385" s="7" t="str">
        <f t="shared" si="185"/>
        <v>Good</v>
      </c>
      <c r="AI385" s="100">
        <f t="shared" si="186"/>
        <v>29.027828091</v>
      </c>
      <c r="AJ385" s="100">
        <f t="shared" si="187"/>
        <v>47.568445828999998</v>
      </c>
    </row>
    <row r="386" spans="1:36" x14ac:dyDescent="0.2">
      <c r="A386" s="8">
        <v>40.755000000000003</v>
      </c>
      <c r="D386" s="101">
        <v>40755</v>
      </c>
      <c r="E386" s="42">
        <f t="shared" si="159"/>
        <v>175.6877209615559</v>
      </c>
      <c r="F386" s="7">
        <f t="shared" si="160"/>
        <v>1</v>
      </c>
      <c r="G386" s="100">
        <f t="shared" si="161"/>
        <v>29.027828091</v>
      </c>
      <c r="H386" s="100">
        <f t="shared" si="162"/>
        <v>47.568445828999998</v>
      </c>
      <c r="I386" s="100">
        <f t="shared" si="163"/>
        <v>29.028229744000001</v>
      </c>
      <c r="J386" s="100">
        <f t="shared" si="164"/>
        <v>47.566690430999998</v>
      </c>
      <c r="K386" s="102">
        <f t="shared" si="165"/>
        <v>38</v>
      </c>
      <c r="L386" s="103">
        <f t="shared" si="166"/>
        <v>3213790.4701975193</v>
      </c>
      <c r="M386" s="103">
        <f t="shared" si="167"/>
        <v>750144.06283547217</v>
      </c>
      <c r="N386" s="103">
        <f t="shared" si="168"/>
        <v>3213831.2725829678</v>
      </c>
      <c r="O386" s="103">
        <f t="shared" si="169"/>
        <v>749972.0730482036</v>
      </c>
      <c r="P386" s="105">
        <f t="shared" si="170"/>
        <v>40.802385448478162</v>
      </c>
      <c r="Q386" s="105">
        <f t="shared" si="171"/>
        <v>-171.98978726856876</v>
      </c>
      <c r="R386" s="104">
        <f t="shared" si="172"/>
        <v>176.76346223972226</v>
      </c>
      <c r="S386" s="104" t="str">
        <f t="shared" si="173"/>
        <v>NW</v>
      </c>
      <c r="T386" s="105">
        <f t="shared" si="174"/>
        <v>0.23293107244959124</v>
      </c>
      <c r="U386" s="14">
        <f t="shared" si="175"/>
        <v>-170.94309746489805</v>
      </c>
      <c r="V386" s="14">
        <f t="shared" si="176"/>
        <v>40.554071630008956</v>
      </c>
      <c r="W386" s="103">
        <f t="shared" si="177"/>
        <v>3213831.0242691492</v>
      </c>
      <c r="X386" s="103">
        <f t="shared" si="178"/>
        <v>749973.11973800731</v>
      </c>
      <c r="Y386" s="100">
        <f t="shared" si="179"/>
        <v>29.028227270783756</v>
      </c>
      <c r="Z386" s="100">
        <f t="shared" si="180"/>
        <v>47.566701114180859</v>
      </c>
      <c r="AA386" s="100">
        <f t="shared" si="181"/>
        <v>-3.9917978375569874E-4</v>
      </c>
      <c r="AB386" s="100">
        <f t="shared" si="182"/>
        <v>-2.4732162451357453E-6</v>
      </c>
      <c r="AC386" s="100">
        <f t="shared" si="183"/>
        <v>1.7447148191394035E-3</v>
      </c>
      <c r="AD386" s="100">
        <f t="shared" si="184"/>
        <v>1.0683180860837638E-5</v>
      </c>
      <c r="AE386" s="8" t="str">
        <f t="shared" si="157"/>
        <v>Good</v>
      </c>
      <c r="AF386" s="8" t="str">
        <f t="shared" si="158"/>
        <v>Good</v>
      </c>
      <c r="AG386" s="7" t="str">
        <f t="shared" si="185"/>
        <v>Good</v>
      </c>
      <c r="AI386" s="100">
        <f t="shared" si="186"/>
        <v>29.028227270783756</v>
      </c>
      <c r="AJ386" s="100">
        <f t="shared" si="187"/>
        <v>47.566701114180859</v>
      </c>
    </row>
    <row r="387" spans="1:36" x14ac:dyDescent="0.2">
      <c r="A387" s="8">
        <v>40.756</v>
      </c>
      <c r="B387" s="100">
        <v>29.028229744000001</v>
      </c>
      <c r="C387" s="100">
        <v>47.566690430999998</v>
      </c>
      <c r="D387" s="101">
        <v>40755.611731644844</v>
      </c>
      <c r="E387" s="42" t="str">
        <f t="shared" si="159"/>
        <v/>
      </c>
      <c r="F387" s="7" t="str">
        <f t="shared" si="160"/>
        <v/>
      </c>
      <c r="G387" s="100" t="str">
        <f t="shared" si="161"/>
        <v/>
      </c>
      <c r="H387" s="100" t="str">
        <f t="shared" si="162"/>
        <v/>
      </c>
      <c r="I387" s="100" t="str">
        <f t="shared" si="163"/>
        <v/>
      </c>
      <c r="J387" s="100" t="str">
        <f t="shared" si="164"/>
        <v/>
      </c>
      <c r="K387" s="102" t="str">
        <f t="shared" si="165"/>
        <v/>
      </c>
      <c r="L387" s="103" t="str">
        <f t="shared" si="166"/>
        <v/>
      </c>
      <c r="M387" s="103" t="str">
        <f t="shared" si="167"/>
        <v/>
      </c>
      <c r="N387" s="103" t="str">
        <f t="shared" si="168"/>
        <v/>
      </c>
      <c r="O387" s="103" t="str">
        <f t="shared" si="169"/>
        <v/>
      </c>
      <c r="P387" s="105" t="str">
        <f t="shared" si="170"/>
        <v/>
      </c>
      <c r="Q387" s="105" t="str">
        <f t="shared" si="171"/>
        <v/>
      </c>
      <c r="R387" s="104" t="str">
        <f t="shared" si="172"/>
        <v/>
      </c>
      <c r="S387" s="104" t="str">
        <f t="shared" si="173"/>
        <v/>
      </c>
      <c r="T387" s="105" t="str">
        <f t="shared" si="174"/>
        <v/>
      </c>
      <c r="U387" s="14" t="str">
        <f t="shared" si="175"/>
        <v/>
      </c>
      <c r="V387" s="14" t="str">
        <f t="shared" si="176"/>
        <v/>
      </c>
      <c r="W387" s="103" t="str">
        <f t="shared" si="177"/>
        <v/>
      </c>
      <c r="X387" s="103" t="str">
        <f t="shared" si="178"/>
        <v/>
      </c>
      <c r="Y387" s="100" t="str">
        <f t="shared" si="179"/>
        <v/>
      </c>
      <c r="Z387" s="100" t="str">
        <f t="shared" si="180"/>
        <v/>
      </c>
      <c r="AA387" s="100" t="e">
        <f t="shared" si="181"/>
        <v>#VALUE!</v>
      </c>
      <c r="AB387" s="100" t="e">
        <f t="shared" si="182"/>
        <v>#VALUE!</v>
      </c>
      <c r="AC387" s="100" t="e">
        <f t="shared" si="183"/>
        <v>#VALUE!</v>
      </c>
      <c r="AD387" s="100" t="e">
        <f t="shared" si="184"/>
        <v>#VALUE!</v>
      </c>
      <c r="AE387" s="8" t="str">
        <f t="shared" si="157"/>
        <v/>
      </c>
      <c r="AF387" s="8" t="str">
        <f t="shared" si="158"/>
        <v/>
      </c>
      <c r="AG387" s="7" t="str">
        <f t="shared" si="185"/>
        <v>Good</v>
      </c>
      <c r="AI387" s="100">
        <f t="shared" si="186"/>
        <v>29.028229744000001</v>
      </c>
      <c r="AJ387" s="100">
        <f t="shared" si="187"/>
        <v>47.566690430999998</v>
      </c>
    </row>
    <row r="388" spans="1:36" x14ac:dyDescent="0.2">
      <c r="A388" s="8">
        <v>40.765000000000001</v>
      </c>
      <c r="B388" s="100">
        <v>29.028253343999999</v>
      </c>
      <c r="C388" s="100">
        <v>47.566593548999997</v>
      </c>
      <c r="D388" s="101">
        <v>40765.38299437581</v>
      </c>
      <c r="E388" s="42" t="str">
        <f t="shared" si="159"/>
        <v/>
      </c>
      <c r="F388" s="7" t="str">
        <f t="shared" si="160"/>
        <v/>
      </c>
      <c r="G388" s="100" t="str">
        <f t="shared" si="161"/>
        <v/>
      </c>
      <c r="H388" s="100" t="str">
        <f t="shared" si="162"/>
        <v/>
      </c>
      <c r="I388" s="100" t="str">
        <f t="shared" si="163"/>
        <v/>
      </c>
      <c r="J388" s="100" t="str">
        <f t="shared" si="164"/>
        <v/>
      </c>
      <c r="K388" s="102" t="str">
        <f t="shared" si="165"/>
        <v/>
      </c>
      <c r="L388" s="103" t="str">
        <f t="shared" si="166"/>
        <v/>
      </c>
      <c r="M388" s="103" t="str">
        <f t="shared" si="167"/>
        <v/>
      </c>
      <c r="N388" s="103" t="str">
        <f t="shared" si="168"/>
        <v/>
      </c>
      <c r="O388" s="103" t="str">
        <f t="shared" si="169"/>
        <v/>
      </c>
      <c r="P388" s="105" t="str">
        <f t="shared" si="170"/>
        <v/>
      </c>
      <c r="Q388" s="105" t="str">
        <f t="shared" si="171"/>
        <v/>
      </c>
      <c r="R388" s="104" t="str">
        <f t="shared" si="172"/>
        <v/>
      </c>
      <c r="S388" s="104" t="str">
        <f t="shared" si="173"/>
        <v/>
      </c>
      <c r="T388" s="105" t="str">
        <f t="shared" si="174"/>
        <v/>
      </c>
      <c r="U388" s="14" t="str">
        <f t="shared" si="175"/>
        <v/>
      </c>
      <c r="V388" s="14" t="str">
        <f t="shared" si="176"/>
        <v/>
      </c>
      <c r="W388" s="103" t="str">
        <f t="shared" si="177"/>
        <v/>
      </c>
      <c r="X388" s="103" t="str">
        <f t="shared" si="178"/>
        <v/>
      </c>
      <c r="Y388" s="100" t="str">
        <f t="shared" si="179"/>
        <v/>
      </c>
      <c r="Z388" s="100" t="str">
        <f t="shared" si="180"/>
        <v/>
      </c>
      <c r="AA388" s="100" t="e">
        <f t="shared" si="181"/>
        <v>#VALUE!</v>
      </c>
      <c r="AB388" s="100" t="e">
        <f t="shared" si="182"/>
        <v>#VALUE!</v>
      </c>
      <c r="AC388" s="100" t="e">
        <f t="shared" si="183"/>
        <v>#VALUE!</v>
      </c>
      <c r="AD388" s="100" t="e">
        <f t="shared" si="184"/>
        <v>#VALUE!</v>
      </c>
      <c r="AE388" s="8" t="str">
        <f t="shared" ref="AE388:AE422" si="188">IF(E388="","",IF(OR(AND(AA388&gt;0,AB388&gt;0),AND(AA388&lt;0,AB388&lt;0)),"Good",""))</f>
        <v/>
      </c>
      <c r="AF388" s="8" t="str">
        <f t="shared" ref="AF388:AF422" si="189">IF(E388="","",IF(OR(AND(AC388&gt;0,AD388&gt;0),AND(AC388&lt;0,AD388&lt;0)),"Good",""))</f>
        <v/>
      </c>
      <c r="AG388" s="7" t="str">
        <f t="shared" si="185"/>
        <v>Good</v>
      </c>
      <c r="AI388" s="100">
        <f t="shared" si="186"/>
        <v>29.028253343999999</v>
      </c>
      <c r="AJ388" s="100">
        <f t="shared" si="187"/>
        <v>47.566593548999997</v>
      </c>
    </row>
    <row r="389" spans="1:36" x14ac:dyDescent="0.2">
      <c r="A389" s="8">
        <v>40.776000000000003</v>
      </c>
      <c r="B389" s="100">
        <v>29.028276728000002</v>
      </c>
      <c r="C389" s="100">
        <v>47.566484756000001</v>
      </c>
      <c r="D389" s="101">
        <v>40776.267980308141</v>
      </c>
      <c r="E389" s="42" t="str">
        <f t="shared" si="159"/>
        <v/>
      </c>
      <c r="F389" s="7" t="str">
        <f t="shared" si="160"/>
        <v/>
      </c>
      <c r="G389" s="100" t="str">
        <f t="shared" si="161"/>
        <v/>
      </c>
      <c r="H389" s="100" t="str">
        <f t="shared" si="162"/>
        <v/>
      </c>
      <c r="I389" s="100" t="str">
        <f t="shared" si="163"/>
        <v/>
      </c>
      <c r="J389" s="100" t="str">
        <f t="shared" si="164"/>
        <v/>
      </c>
      <c r="K389" s="102" t="str">
        <f t="shared" si="165"/>
        <v/>
      </c>
      <c r="L389" s="103" t="str">
        <f t="shared" si="166"/>
        <v/>
      </c>
      <c r="M389" s="103" t="str">
        <f t="shared" si="167"/>
        <v/>
      </c>
      <c r="N389" s="103" t="str">
        <f t="shared" si="168"/>
        <v/>
      </c>
      <c r="O389" s="103" t="str">
        <f t="shared" si="169"/>
        <v/>
      </c>
      <c r="P389" s="105" t="str">
        <f t="shared" si="170"/>
        <v/>
      </c>
      <c r="Q389" s="105" t="str">
        <f t="shared" si="171"/>
        <v/>
      </c>
      <c r="R389" s="104" t="str">
        <f t="shared" si="172"/>
        <v/>
      </c>
      <c r="S389" s="104" t="str">
        <f t="shared" si="173"/>
        <v/>
      </c>
      <c r="T389" s="105" t="str">
        <f t="shared" si="174"/>
        <v/>
      </c>
      <c r="U389" s="14" t="str">
        <f t="shared" si="175"/>
        <v/>
      </c>
      <c r="V389" s="14" t="str">
        <f t="shared" si="176"/>
        <v/>
      </c>
      <c r="W389" s="103" t="str">
        <f t="shared" si="177"/>
        <v/>
      </c>
      <c r="X389" s="103" t="str">
        <f t="shared" si="178"/>
        <v/>
      </c>
      <c r="Y389" s="100" t="str">
        <f t="shared" si="179"/>
        <v/>
      </c>
      <c r="Z389" s="100" t="str">
        <f t="shared" si="180"/>
        <v/>
      </c>
      <c r="AA389" s="100" t="e">
        <f t="shared" si="181"/>
        <v>#VALUE!</v>
      </c>
      <c r="AB389" s="100" t="e">
        <f t="shared" si="182"/>
        <v>#VALUE!</v>
      </c>
      <c r="AC389" s="100" t="e">
        <f t="shared" si="183"/>
        <v>#VALUE!</v>
      </c>
      <c r="AD389" s="100" t="e">
        <f t="shared" si="184"/>
        <v>#VALUE!</v>
      </c>
      <c r="AE389" s="8" t="str">
        <f t="shared" si="188"/>
        <v/>
      </c>
      <c r="AF389" s="8" t="str">
        <f t="shared" si="189"/>
        <v/>
      </c>
      <c r="AG389" s="7" t="str">
        <f t="shared" si="185"/>
        <v>Good</v>
      </c>
      <c r="AI389" s="100">
        <f t="shared" si="186"/>
        <v>29.028276728000002</v>
      </c>
      <c r="AJ389" s="100">
        <f t="shared" si="187"/>
        <v>47.566484756000001</v>
      </c>
    </row>
    <row r="390" spans="1:36" x14ac:dyDescent="0.2">
      <c r="A390" s="8">
        <v>40.968000000000004</v>
      </c>
      <c r="B390" s="100">
        <v>29.028789310000001</v>
      </c>
      <c r="C390" s="100">
        <v>47.564601670999998</v>
      </c>
      <c r="D390" s="101">
        <v>40967.890599541752</v>
      </c>
      <c r="E390" s="42" t="str">
        <f t="shared" si="159"/>
        <v/>
      </c>
      <c r="F390" s="7" t="str">
        <f t="shared" si="160"/>
        <v/>
      </c>
      <c r="G390" s="100" t="str">
        <f t="shared" si="161"/>
        <v/>
      </c>
      <c r="H390" s="100" t="str">
        <f t="shared" si="162"/>
        <v/>
      </c>
      <c r="I390" s="100" t="str">
        <f t="shared" si="163"/>
        <v/>
      </c>
      <c r="J390" s="100" t="str">
        <f t="shared" si="164"/>
        <v/>
      </c>
      <c r="K390" s="102" t="str">
        <f t="shared" si="165"/>
        <v/>
      </c>
      <c r="L390" s="103" t="str">
        <f t="shared" si="166"/>
        <v/>
      </c>
      <c r="M390" s="103" t="str">
        <f t="shared" si="167"/>
        <v/>
      </c>
      <c r="N390" s="103" t="str">
        <f t="shared" si="168"/>
        <v/>
      </c>
      <c r="O390" s="103" t="str">
        <f t="shared" si="169"/>
        <v/>
      </c>
      <c r="P390" s="105" t="str">
        <f t="shared" si="170"/>
        <v/>
      </c>
      <c r="Q390" s="105" t="str">
        <f t="shared" si="171"/>
        <v/>
      </c>
      <c r="R390" s="104" t="str">
        <f t="shared" si="172"/>
        <v/>
      </c>
      <c r="S390" s="104" t="str">
        <f t="shared" si="173"/>
        <v/>
      </c>
      <c r="T390" s="105" t="str">
        <f t="shared" si="174"/>
        <v/>
      </c>
      <c r="U390" s="14" t="str">
        <f t="shared" si="175"/>
        <v/>
      </c>
      <c r="V390" s="14" t="str">
        <f t="shared" si="176"/>
        <v/>
      </c>
      <c r="W390" s="103" t="str">
        <f t="shared" si="177"/>
        <v/>
      </c>
      <c r="X390" s="103" t="str">
        <f t="shared" si="178"/>
        <v/>
      </c>
      <c r="Y390" s="100" t="str">
        <f t="shared" si="179"/>
        <v/>
      </c>
      <c r="Z390" s="100" t="str">
        <f t="shared" si="180"/>
        <v/>
      </c>
      <c r="AA390" s="100" t="e">
        <f t="shared" si="181"/>
        <v>#VALUE!</v>
      </c>
      <c r="AB390" s="100" t="e">
        <f t="shared" si="182"/>
        <v>#VALUE!</v>
      </c>
      <c r="AC390" s="100" t="e">
        <f t="shared" si="183"/>
        <v>#VALUE!</v>
      </c>
      <c r="AD390" s="100" t="e">
        <f t="shared" si="184"/>
        <v>#VALUE!</v>
      </c>
      <c r="AE390" s="8" t="str">
        <f t="shared" si="188"/>
        <v/>
      </c>
      <c r="AF390" s="8" t="str">
        <f t="shared" si="189"/>
        <v/>
      </c>
      <c r="AG390" s="7" t="str">
        <f t="shared" si="185"/>
        <v>Good</v>
      </c>
      <c r="AI390" s="100">
        <f t="shared" si="186"/>
        <v>29.028789310000001</v>
      </c>
      <c r="AJ390" s="100">
        <f t="shared" si="187"/>
        <v>47.564601670999998</v>
      </c>
    </row>
    <row r="391" spans="1:36" x14ac:dyDescent="0.2">
      <c r="A391" s="8">
        <v>41.076000000000001</v>
      </c>
      <c r="B391" s="100">
        <v>29.029116401</v>
      </c>
      <c r="C391" s="100">
        <v>47.563552870000002</v>
      </c>
      <c r="D391" s="101">
        <v>41076.080430439186</v>
      </c>
      <c r="E391" s="42" t="str">
        <f t="shared" si="159"/>
        <v/>
      </c>
      <c r="F391" s="7" t="str">
        <f t="shared" si="160"/>
        <v/>
      </c>
      <c r="G391" s="100" t="str">
        <f t="shared" si="161"/>
        <v/>
      </c>
      <c r="H391" s="100" t="str">
        <f t="shared" si="162"/>
        <v/>
      </c>
      <c r="I391" s="100" t="str">
        <f t="shared" si="163"/>
        <v/>
      </c>
      <c r="J391" s="100" t="str">
        <f t="shared" si="164"/>
        <v/>
      </c>
      <c r="K391" s="102" t="str">
        <f t="shared" si="165"/>
        <v/>
      </c>
      <c r="L391" s="103" t="str">
        <f t="shared" si="166"/>
        <v/>
      </c>
      <c r="M391" s="103" t="str">
        <f t="shared" si="167"/>
        <v/>
      </c>
      <c r="N391" s="103" t="str">
        <f t="shared" si="168"/>
        <v/>
      </c>
      <c r="O391" s="103" t="str">
        <f t="shared" si="169"/>
        <v/>
      </c>
      <c r="P391" s="105" t="str">
        <f t="shared" si="170"/>
        <v/>
      </c>
      <c r="Q391" s="105" t="str">
        <f t="shared" si="171"/>
        <v/>
      </c>
      <c r="R391" s="104" t="str">
        <f t="shared" si="172"/>
        <v/>
      </c>
      <c r="S391" s="104" t="str">
        <f t="shared" si="173"/>
        <v/>
      </c>
      <c r="T391" s="105" t="str">
        <f t="shared" si="174"/>
        <v/>
      </c>
      <c r="U391" s="14" t="str">
        <f t="shared" si="175"/>
        <v/>
      </c>
      <c r="V391" s="14" t="str">
        <f t="shared" si="176"/>
        <v/>
      </c>
      <c r="W391" s="103" t="str">
        <f t="shared" si="177"/>
        <v/>
      </c>
      <c r="X391" s="103" t="str">
        <f t="shared" si="178"/>
        <v/>
      </c>
      <c r="Y391" s="100" t="str">
        <f t="shared" si="179"/>
        <v/>
      </c>
      <c r="Z391" s="100" t="str">
        <f t="shared" si="180"/>
        <v/>
      </c>
      <c r="AA391" s="100" t="e">
        <f t="shared" si="181"/>
        <v>#VALUE!</v>
      </c>
      <c r="AB391" s="100" t="e">
        <f t="shared" si="182"/>
        <v>#VALUE!</v>
      </c>
      <c r="AC391" s="100" t="e">
        <f t="shared" si="183"/>
        <v>#VALUE!</v>
      </c>
      <c r="AD391" s="100" t="e">
        <f t="shared" si="184"/>
        <v>#VALUE!</v>
      </c>
      <c r="AE391" s="8" t="str">
        <f t="shared" si="188"/>
        <v/>
      </c>
      <c r="AF391" s="8" t="str">
        <f t="shared" si="189"/>
        <v/>
      </c>
      <c r="AG391" s="7" t="str">
        <f t="shared" si="185"/>
        <v>Good</v>
      </c>
      <c r="AI391" s="100">
        <f t="shared" si="186"/>
        <v>29.029116401</v>
      </c>
      <c r="AJ391" s="100">
        <f t="shared" si="187"/>
        <v>47.563552870000002</v>
      </c>
    </row>
    <row r="392" spans="1:36" x14ac:dyDescent="0.2">
      <c r="A392" s="8">
        <v>41.08</v>
      </c>
      <c r="B392" s="100">
        <v>29.029122539999999</v>
      </c>
      <c r="C392" s="100">
        <v>47.563508615000003</v>
      </c>
      <c r="D392" s="101">
        <v>41080.434176741554</v>
      </c>
      <c r="E392" s="42" t="str">
        <f t="shared" ref="E392:E422" si="190">IF(F392=1,D392-D391,"")</f>
        <v/>
      </c>
      <c r="F392" s="7" t="str">
        <f t="shared" ref="F392:F422" si="191">IF(C392="",1,"")</f>
        <v/>
      </c>
      <c r="G392" s="100" t="str">
        <f t="shared" ref="G392:G422" si="192">IF(F392=1,IF(B391="",G391,B391),"")</f>
        <v/>
      </c>
      <c r="H392" s="100" t="str">
        <f t="shared" ref="H392:H422" si="193">IF(F392=1,IF(C391="",H391,C391),"")</f>
        <v/>
      </c>
      <c r="I392" s="100" t="str">
        <f t="shared" ref="I392:I422" si="194">IF(F392=1,IF(B393="",I393,B393),"")</f>
        <v/>
      </c>
      <c r="J392" s="100" t="str">
        <f t="shared" ref="J392:J422" si="195">IF(F392=1,IF(C393="",J393,C393),"")</f>
        <v/>
      </c>
      <c r="K392" s="102" t="str">
        <f t="shared" ref="K392:K422" si="196">IF(F392=1,utmzone_long(J392),"")</f>
        <v/>
      </c>
      <c r="L392" s="103" t="str">
        <f t="shared" ref="L392:L422" si="197">IF(F392=1,northing(G392,H392),"")</f>
        <v/>
      </c>
      <c r="M392" s="103" t="str">
        <f t="shared" ref="M392:M422" si="198">IF(F392=1,easting(G392,H392),"")</f>
        <v/>
      </c>
      <c r="N392" s="103" t="str">
        <f t="shared" ref="N392:N422" si="199">IF(F392=1,northing(I392,J392),"")</f>
        <v/>
      </c>
      <c r="O392" s="103" t="str">
        <f t="shared" ref="O392:O422" si="200">IF(F392=1,easting(I392,J392),"")</f>
        <v/>
      </c>
      <c r="P392" s="105" t="str">
        <f t="shared" ref="P392:P422" si="201">IF(F392=1,N392-L392,"")</f>
        <v/>
      </c>
      <c r="Q392" s="105" t="str">
        <f t="shared" ref="Q392:Q422" si="202">IF(F392=1,O392-M392,"")</f>
        <v/>
      </c>
      <c r="R392" s="104" t="str">
        <f t="shared" ref="R392:R422" si="203">IF(F392=1,SQRT(ABS(L392-N392)^2+ABS(M392-O392)^2),"")</f>
        <v/>
      </c>
      <c r="S392" s="104" t="str">
        <f t="shared" ref="S392:S422" si="204">IF(F392=1,IF(N392&lt;L392,"S","N") &amp; IF(O392&lt;M392,"W","E"),"")</f>
        <v/>
      </c>
      <c r="T392" s="105" t="str">
        <f t="shared" ref="T392:T422" si="205">IF(F392=1,ABS(ATAN((P392)/Q392)),"")</f>
        <v/>
      </c>
      <c r="U392" s="14" t="str">
        <f t="shared" ref="U392:U422" si="206">IF(F392=1,IF(Q392&lt;0,-1*COS(T392)*E392,COS(T392)*E392),"")</f>
        <v/>
      </c>
      <c r="V392" s="14" t="str">
        <f t="shared" ref="V392:V422" si="207">IF(F392=1,IF(P392&lt;0,-1*SIN(T392)*E392,SIN(T392)*E392),"")</f>
        <v/>
      </c>
      <c r="W392" s="103" t="str">
        <f t="shared" ref="W392:W422" si="208">IF(F392=1,V392+L392,"")</f>
        <v/>
      </c>
      <c r="X392" s="103" t="str">
        <f t="shared" ref="X392:X422" si="209">IF(F392=1,U392+M392,"")</f>
        <v/>
      </c>
      <c r="Y392" s="100" t="str">
        <f t="shared" ref="Y392:Y422" si="210">IF(F392=1,latitude(K392,W392,X392),"")</f>
        <v/>
      </c>
      <c r="Z392" s="100" t="str">
        <f t="shared" ref="Z392:Z422" si="211">IF(F392=1,longitude(K392,W392,X392),"")</f>
        <v/>
      </c>
      <c r="AA392" s="100" t="e">
        <f t="shared" ref="AA392:AA422" si="212">B391-Y392</f>
        <v>#VALUE!</v>
      </c>
      <c r="AB392" s="100" t="e">
        <f t="shared" ref="AB392:AB422" si="213">Y392-B393</f>
        <v>#VALUE!</v>
      </c>
      <c r="AC392" s="100" t="e">
        <f t="shared" ref="AC392:AC422" si="214">C391-Z392</f>
        <v>#VALUE!</v>
      </c>
      <c r="AD392" s="100" t="e">
        <f t="shared" ref="AD392:AD422" si="215">Z392-C393</f>
        <v>#VALUE!</v>
      </c>
      <c r="AE392" s="8" t="str">
        <f t="shared" si="188"/>
        <v/>
      </c>
      <c r="AF392" s="8" t="str">
        <f t="shared" si="189"/>
        <v/>
      </c>
      <c r="AG392" s="7" t="str">
        <f t="shared" ref="AG392:AG422" si="216">IF(F392=1,IF(AND(AE392="Good",AF392="Good"),"Good",""),"Good")</f>
        <v>Good</v>
      </c>
      <c r="AI392" s="100">
        <f t="shared" ref="AI392:AI422" si="217">IF(B392="",Y392,B392)</f>
        <v>29.029122539999999</v>
      </c>
      <c r="AJ392" s="100">
        <f t="shared" ref="AJ392:AJ422" si="218">IF(C392="",Z392,C392)</f>
        <v>47.563508615000003</v>
      </c>
    </row>
    <row r="393" spans="1:36" x14ac:dyDescent="0.2">
      <c r="A393" s="8">
        <v>41.116</v>
      </c>
      <c r="B393" s="100">
        <v>29.029226504</v>
      </c>
      <c r="C393" s="100">
        <v>47.563162882999997</v>
      </c>
      <c r="D393" s="101">
        <v>41115.956531454016</v>
      </c>
      <c r="E393" s="42" t="str">
        <f t="shared" si="190"/>
        <v/>
      </c>
      <c r="F393" s="7" t="str">
        <f t="shared" si="191"/>
        <v/>
      </c>
      <c r="G393" s="100" t="str">
        <f t="shared" si="192"/>
        <v/>
      </c>
      <c r="H393" s="100" t="str">
        <f t="shared" si="193"/>
        <v/>
      </c>
      <c r="I393" s="100" t="str">
        <f t="shared" si="194"/>
        <v/>
      </c>
      <c r="J393" s="100" t="str">
        <f t="shared" si="195"/>
        <v/>
      </c>
      <c r="K393" s="102" t="str">
        <f t="shared" si="196"/>
        <v/>
      </c>
      <c r="L393" s="103" t="str">
        <f t="shared" si="197"/>
        <v/>
      </c>
      <c r="M393" s="103" t="str">
        <f t="shared" si="198"/>
        <v/>
      </c>
      <c r="N393" s="103" t="str">
        <f t="shared" si="199"/>
        <v/>
      </c>
      <c r="O393" s="103" t="str">
        <f t="shared" si="200"/>
        <v/>
      </c>
      <c r="P393" s="105" t="str">
        <f t="shared" si="201"/>
        <v/>
      </c>
      <c r="Q393" s="105" t="str">
        <f t="shared" si="202"/>
        <v/>
      </c>
      <c r="R393" s="104" t="str">
        <f t="shared" si="203"/>
        <v/>
      </c>
      <c r="S393" s="104" t="str">
        <f t="shared" si="204"/>
        <v/>
      </c>
      <c r="T393" s="105" t="str">
        <f t="shared" si="205"/>
        <v/>
      </c>
      <c r="U393" s="14" t="str">
        <f t="shared" si="206"/>
        <v/>
      </c>
      <c r="V393" s="14" t="str">
        <f t="shared" si="207"/>
        <v/>
      </c>
      <c r="W393" s="103" t="str">
        <f t="shared" si="208"/>
        <v/>
      </c>
      <c r="X393" s="103" t="str">
        <f t="shared" si="209"/>
        <v/>
      </c>
      <c r="Y393" s="100" t="str">
        <f t="shared" si="210"/>
        <v/>
      </c>
      <c r="Z393" s="100" t="str">
        <f t="shared" si="211"/>
        <v/>
      </c>
      <c r="AA393" s="100" t="e">
        <f t="shared" si="212"/>
        <v>#VALUE!</v>
      </c>
      <c r="AB393" s="100" t="e">
        <f t="shared" si="213"/>
        <v>#VALUE!</v>
      </c>
      <c r="AC393" s="100" t="e">
        <f t="shared" si="214"/>
        <v>#VALUE!</v>
      </c>
      <c r="AD393" s="100" t="e">
        <f t="shared" si="215"/>
        <v>#VALUE!</v>
      </c>
      <c r="AE393" s="8" t="str">
        <f t="shared" si="188"/>
        <v/>
      </c>
      <c r="AF393" s="8" t="str">
        <f t="shared" si="189"/>
        <v/>
      </c>
      <c r="AG393" s="7" t="str">
        <f t="shared" si="216"/>
        <v>Good</v>
      </c>
      <c r="AI393" s="100">
        <f t="shared" si="217"/>
        <v>29.029226504</v>
      </c>
      <c r="AJ393" s="100">
        <f t="shared" si="218"/>
        <v>47.563162882999997</v>
      </c>
    </row>
    <row r="394" spans="1:36" x14ac:dyDescent="0.2">
      <c r="A394" s="8">
        <v>41.128999999999998</v>
      </c>
      <c r="B394" s="100">
        <v>29.029269672000002</v>
      </c>
      <c r="C394" s="100">
        <v>47.56303595</v>
      </c>
      <c r="D394" s="101">
        <v>41129.189604629988</v>
      </c>
      <c r="E394" s="42" t="str">
        <f t="shared" si="190"/>
        <v/>
      </c>
      <c r="F394" s="7" t="str">
        <f t="shared" si="191"/>
        <v/>
      </c>
      <c r="G394" s="100" t="str">
        <f t="shared" si="192"/>
        <v/>
      </c>
      <c r="H394" s="100" t="str">
        <f t="shared" si="193"/>
        <v/>
      </c>
      <c r="I394" s="100" t="str">
        <f t="shared" si="194"/>
        <v/>
      </c>
      <c r="J394" s="100" t="str">
        <f t="shared" si="195"/>
        <v/>
      </c>
      <c r="K394" s="102" t="str">
        <f t="shared" si="196"/>
        <v/>
      </c>
      <c r="L394" s="103" t="str">
        <f t="shared" si="197"/>
        <v/>
      </c>
      <c r="M394" s="103" t="str">
        <f t="shared" si="198"/>
        <v/>
      </c>
      <c r="N394" s="103" t="str">
        <f t="shared" si="199"/>
        <v/>
      </c>
      <c r="O394" s="103" t="str">
        <f t="shared" si="200"/>
        <v/>
      </c>
      <c r="P394" s="105" t="str">
        <f t="shared" si="201"/>
        <v/>
      </c>
      <c r="Q394" s="105" t="str">
        <f t="shared" si="202"/>
        <v/>
      </c>
      <c r="R394" s="104" t="str">
        <f t="shared" si="203"/>
        <v/>
      </c>
      <c r="S394" s="104" t="str">
        <f t="shared" si="204"/>
        <v/>
      </c>
      <c r="T394" s="105" t="str">
        <f t="shared" si="205"/>
        <v/>
      </c>
      <c r="U394" s="14" t="str">
        <f t="shared" si="206"/>
        <v/>
      </c>
      <c r="V394" s="14" t="str">
        <f t="shared" si="207"/>
        <v/>
      </c>
      <c r="W394" s="103" t="str">
        <f t="shared" si="208"/>
        <v/>
      </c>
      <c r="X394" s="103" t="str">
        <f t="shared" si="209"/>
        <v/>
      </c>
      <c r="Y394" s="100" t="str">
        <f t="shared" si="210"/>
        <v/>
      </c>
      <c r="Z394" s="100" t="str">
        <f t="shared" si="211"/>
        <v/>
      </c>
      <c r="AA394" s="100" t="e">
        <f t="shared" si="212"/>
        <v>#VALUE!</v>
      </c>
      <c r="AB394" s="100" t="e">
        <f t="shared" si="213"/>
        <v>#VALUE!</v>
      </c>
      <c r="AC394" s="100" t="e">
        <f t="shared" si="214"/>
        <v>#VALUE!</v>
      </c>
      <c r="AD394" s="100" t="e">
        <f t="shared" si="215"/>
        <v>#VALUE!</v>
      </c>
      <c r="AE394" s="8" t="str">
        <f t="shared" si="188"/>
        <v/>
      </c>
      <c r="AF394" s="8" t="str">
        <f t="shared" si="189"/>
        <v/>
      </c>
      <c r="AG394" s="7" t="str">
        <f t="shared" si="216"/>
        <v>Good</v>
      </c>
      <c r="AI394" s="100">
        <f t="shared" si="217"/>
        <v>29.029269672000002</v>
      </c>
      <c r="AJ394" s="100">
        <f t="shared" si="218"/>
        <v>47.56303595</v>
      </c>
    </row>
    <row r="395" spans="1:36" x14ac:dyDescent="0.2">
      <c r="A395" s="8">
        <v>41.143000000000001</v>
      </c>
      <c r="B395" s="100">
        <v>29.029307810999999</v>
      </c>
      <c r="C395" s="100">
        <v>47.562901795000002</v>
      </c>
      <c r="D395" s="101">
        <v>41142.895770027826</v>
      </c>
      <c r="E395" s="42" t="str">
        <f t="shared" si="190"/>
        <v/>
      </c>
      <c r="F395" s="7" t="str">
        <f t="shared" si="191"/>
        <v/>
      </c>
      <c r="G395" s="100" t="str">
        <f t="shared" si="192"/>
        <v/>
      </c>
      <c r="H395" s="100" t="str">
        <f t="shared" si="193"/>
        <v/>
      </c>
      <c r="I395" s="100" t="str">
        <f t="shared" si="194"/>
        <v/>
      </c>
      <c r="J395" s="100" t="str">
        <f t="shared" si="195"/>
        <v/>
      </c>
      <c r="K395" s="102" t="str">
        <f t="shared" si="196"/>
        <v/>
      </c>
      <c r="L395" s="103" t="str">
        <f t="shared" si="197"/>
        <v/>
      </c>
      <c r="M395" s="103" t="str">
        <f t="shared" si="198"/>
        <v/>
      </c>
      <c r="N395" s="103" t="str">
        <f t="shared" si="199"/>
        <v/>
      </c>
      <c r="O395" s="103" t="str">
        <f t="shared" si="200"/>
        <v/>
      </c>
      <c r="P395" s="105" t="str">
        <f t="shared" si="201"/>
        <v/>
      </c>
      <c r="Q395" s="105" t="str">
        <f t="shared" si="202"/>
        <v/>
      </c>
      <c r="R395" s="104" t="str">
        <f t="shared" si="203"/>
        <v/>
      </c>
      <c r="S395" s="104" t="str">
        <f t="shared" si="204"/>
        <v/>
      </c>
      <c r="T395" s="105" t="str">
        <f t="shared" si="205"/>
        <v/>
      </c>
      <c r="U395" s="14" t="str">
        <f t="shared" si="206"/>
        <v/>
      </c>
      <c r="V395" s="14" t="str">
        <f t="shared" si="207"/>
        <v/>
      </c>
      <c r="W395" s="103" t="str">
        <f t="shared" si="208"/>
        <v/>
      </c>
      <c r="X395" s="103" t="str">
        <f t="shared" si="209"/>
        <v/>
      </c>
      <c r="Y395" s="100" t="str">
        <f t="shared" si="210"/>
        <v/>
      </c>
      <c r="Z395" s="100" t="str">
        <f t="shared" si="211"/>
        <v/>
      </c>
      <c r="AA395" s="100" t="e">
        <f t="shared" si="212"/>
        <v>#VALUE!</v>
      </c>
      <c r="AB395" s="100" t="e">
        <f t="shared" si="213"/>
        <v>#VALUE!</v>
      </c>
      <c r="AC395" s="100" t="e">
        <f t="shared" si="214"/>
        <v>#VALUE!</v>
      </c>
      <c r="AD395" s="100" t="e">
        <f t="shared" si="215"/>
        <v>#VALUE!</v>
      </c>
      <c r="AE395" s="8" t="str">
        <f t="shared" si="188"/>
        <v/>
      </c>
      <c r="AF395" s="8" t="str">
        <f t="shared" si="189"/>
        <v/>
      </c>
      <c r="AG395" s="7" t="str">
        <f t="shared" si="216"/>
        <v>Good</v>
      </c>
      <c r="AI395" s="100">
        <f t="shared" si="217"/>
        <v>29.029307810999999</v>
      </c>
      <c r="AJ395" s="100">
        <f t="shared" si="218"/>
        <v>47.562901795000002</v>
      </c>
    </row>
    <row r="396" spans="1:36" x14ac:dyDescent="0.2">
      <c r="A396" s="8">
        <v>41.158999999999999</v>
      </c>
      <c r="B396" s="100">
        <v>29.029355637999998</v>
      </c>
      <c r="C396" s="100">
        <v>47.562741817999999</v>
      </c>
      <c r="D396" s="101">
        <v>41159.322448233914</v>
      </c>
      <c r="E396" s="42" t="str">
        <f t="shared" si="190"/>
        <v/>
      </c>
      <c r="F396" s="7" t="str">
        <f t="shared" si="191"/>
        <v/>
      </c>
      <c r="G396" s="100" t="str">
        <f t="shared" si="192"/>
        <v/>
      </c>
      <c r="H396" s="100" t="str">
        <f t="shared" si="193"/>
        <v/>
      </c>
      <c r="I396" s="100" t="str">
        <f t="shared" si="194"/>
        <v/>
      </c>
      <c r="J396" s="100" t="str">
        <f t="shared" si="195"/>
        <v/>
      </c>
      <c r="K396" s="102" t="str">
        <f t="shared" si="196"/>
        <v/>
      </c>
      <c r="L396" s="103" t="str">
        <f t="shared" si="197"/>
        <v/>
      </c>
      <c r="M396" s="103" t="str">
        <f t="shared" si="198"/>
        <v/>
      </c>
      <c r="N396" s="103" t="str">
        <f t="shared" si="199"/>
        <v/>
      </c>
      <c r="O396" s="103" t="str">
        <f t="shared" si="200"/>
        <v/>
      </c>
      <c r="P396" s="105" t="str">
        <f t="shared" si="201"/>
        <v/>
      </c>
      <c r="Q396" s="105" t="str">
        <f t="shared" si="202"/>
        <v/>
      </c>
      <c r="R396" s="104" t="str">
        <f t="shared" si="203"/>
        <v/>
      </c>
      <c r="S396" s="104" t="str">
        <f t="shared" si="204"/>
        <v/>
      </c>
      <c r="T396" s="105" t="str">
        <f t="shared" si="205"/>
        <v/>
      </c>
      <c r="U396" s="14" t="str">
        <f t="shared" si="206"/>
        <v/>
      </c>
      <c r="V396" s="14" t="str">
        <f t="shared" si="207"/>
        <v/>
      </c>
      <c r="W396" s="103" t="str">
        <f t="shared" si="208"/>
        <v/>
      </c>
      <c r="X396" s="103" t="str">
        <f t="shared" si="209"/>
        <v/>
      </c>
      <c r="Y396" s="100" t="str">
        <f t="shared" si="210"/>
        <v/>
      </c>
      <c r="Z396" s="100" t="str">
        <f t="shared" si="211"/>
        <v/>
      </c>
      <c r="AA396" s="100" t="e">
        <f t="shared" si="212"/>
        <v>#VALUE!</v>
      </c>
      <c r="AB396" s="100" t="e">
        <f t="shared" si="213"/>
        <v>#VALUE!</v>
      </c>
      <c r="AC396" s="100" t="e">
        <f t="shared" si="214"/>
        <v>#VALUE!</v>
      </c>
      <c r="AD396" s="100" t="e">
        <f t="shared" si="215"/>
        <v>#VALUE!</v>
      </c>
      <c r="AE396" s="8" t="str">
        <f t="shared" si="188"/>
        <v/>
      </c>
      <c r="AF396" s="8" t="str">
        <f t="shared" si="189"/>
        <v/>
      </c>
      <c r="AG396" s="7" t="str">
        <f t="shared" si="216"/>
        <v>Good</v>
      </c>
      <c r="AI396" s="100">
        <f t="shared" si="217"/>
        <v>29.029355637999998</v>
      </c>
      <c r="AJ396" s="100">
        <f t="shared" si="218"/>
        <v>47.562741817999999</v>
      </c>
    </row>
    <row r="397" spans="1:36" x14ac:dyDescent="0.2">
      <c r="A397" s="8">
        <v>41.162999999999997</v>
      </c>
      <c r="B397" s="100">
        <v>29.029371050000002</v>
      </c>
      <c r="C397" s="100">
        <v>47.562703298999999</v>
      </c>
      <c r="D397" s="101">
        <v>41163.438148555157</v>
      </c>
      <c r="E397" s="42" t="str">
        <f t="shared" si="190"/>
        <v/>
      </c>
      <c r="F397" s="7" t="str">
        <f t="shared" si="191"/>
        <v/>
      </c>
      <c r="G397" s="100" t="str">
        <f t="shared" si="192"/>
        <v/>
      </c>
      <c r="H397" s="100" t="str">
        <f t="shared" si="193"/>
        <v/>
      </c>
      <c r="I397" s="100" t="str">
        <f t="shared" si="194"/>
        <v/>
      </c>
      <c r="J397" s="100" t="str">
        <f t="shared" si="195"/>
        <v/>
      </c>
      <c r="K397" s="102" t="str">
        <f t="shared" si="196"/>
        <v/>
      </c>
      <c r="L397" s="103" t="str">
        <f t="shared" si="197"/>
        <v/>
      </c>
      <c r="M397" s="103" t="str">
        <f t="shared" si="198"/>
        <v/>
      </c>
      <c r="N397" s="103" t="str">
        <f t="shared" si="199"/>
        <v/>
      </c>
      <c r="O397" s="103" t="str">
        <f t="shared" si="200"/>
        <v/>
      </c>
      <c r="P397" s="105" t="str">
        <f t="shared" si="201"/>
        <v/>
      </c>
      <c r="Q397" s="105" t="str">
        <f t="shared" si="202"/>
        <v/>
      </c>
      <c r="R397" s="104" t="str">
        <f t="shared" si="203"/>
        <v/>
      </c>
      <c r="S397" s="104" t="str">
        <f t="shared" si="204"/>
        <v/>
      </c>
      <c r="T397" s="105" t="str">
        <f t="shared" si="205"/>
        <v/>
      </c>
      <c r="U397" s="14" t="str">
        <f t="shared" si="206"/>
        <v/>
      </c>
      <c r="V397" s="14" t="str">
        <f t="shared" si="207"/>
        <v/>
      </c>
      <c r="W397" s="103" t="str">
        <f t="shared" si="208"/>
        <v/>
      </c>
      <c r="X397" s="103" t="str">
        <f t="shared" si="209"/>
        <v/>
      </c>
      <c r="Y397" s="100" t="str">
        <f t="shared" si="210"/>
        <v/>
      </c>
      <c r="Z397" s="100" t="str">
        <f t="shared" si="211"/>
        <v/>
      </c>
      <c r="AA397" s="100" t="e">
        <f t="shared" si="212"/>
        <v>#VALUE!</v>
      </c>
      <c r="AB397" s="100" t="e">
        <f t="shared" si="213"/>
        <v>#VALUE!</v>
      </c>
      <c r="AC397" s="100" t="e">
        <f t="shared" si="214"/>
        <v>#VALUE!</v>
      </c>
      <c r="AD397" s="100" t="e">
        <f t="shared" si="215"/>
        <v>#VALUE!</v>
      </c>
      <c r="AE397" s="8" t="str">
        <f t="shared" si="188"/>
        <v/>
      </c>
      <c r="AF397" s="8" t="str">
        <f t="shared" si="189"/>
        <v/>
      </c>
      <c r="AG397" s="7" t="str">
        <f t="shared" si="216"/>
        <v>Good</v>
      </c>
      <c r="AI397" s="100">
        <f t="shared" si="217"/>
        <v>29.029371050000002</v>
      </c>
      <c r="AJ397" s="100">
        <f t="shared" si="218"/>
        <v>47.562703298999999</v>
      </c>
    </row>
    <row r="398" spans="1:36" x14ac:dyDescent="0.2">
      <c r="A398" s="8">
        <v>41.173000000000002</v>
      </c>
      <c r="B398" s="100">
        <v>29.029400486</v>
      </c>
      <c r="C398" s="100">
        <v>47.562613044999999</v>
      </c>
      <c r="D398" s="101">
        <v>41172.797267901529</v>
      </c>
      <c r="E398" s="42" t="str">
        <f t="shared" si="190"/>
        <v/>
      </c>
      <c r="F398" s="7" t="str">
        <f t="shared" si="191"/>
        <v/>
      </c>
      <c r="G398" s="100" t="str">
        <f t="shared" si="192"/>
        <v/>
      </c>
      <c r="H398" s="100" t="str">
        <f t="shared" si="193"/>
        <v/>
      </c>
      <c r="I398" s="100" t="str">
        <f t="shared" si="194"/>
        <v/>
      </c>
      <c r="J398" s="100" t="str">
        <f t="shared" si="195"/>
        <v/>
      </c>
      <c r="K398" s="102" t="str">
        <f t="shared" si="196"/>
        <v/>
      </c>
      <c r="L398" s="103" t="str">
        <f t="shared" si="197"/>
        <v/>
      </c>
      <c r="M398" s="103" t="str">
        <f t="shared" si="198"/>
        <v/>
      </c>
      <c r="N398" s="103" t="str">
        <f t="shared" si="199"/>
        <v/>
      </c>
      <c r="O398" s="103" t="str">
        <f t="shared" si="200"/>
        <v/>
      </c>
      <c r="P398" s="105" t="str">
        <f t="shared" si="201"/>
        <v/>
      </c>
      <c r="Q398" s="105" t="str">
        <f t="shared" si="202"/>
        <v/>
      </c>
      <c r="R398" s="104" t="str">
        <f t="shared" si="203"/>
        <v/>
      </c>
      <c r="S398" s="104" t="str">
        <f t="shared" si="204"/>
        <v/>
      </c>
      <c r="T398" s="105" t="str">
        <f t="shared" si="205"/>
        <v/>
      </c>
      <c r="U398" s="14" t="str">
        <f t="shared" si="206"/>
        <v/>
      </c>
      <c r="V398" s="14" t="str">
        <f t="shared" si="207"/>
        <v/>
      </c>
      <c r="W398" s="103" t="str">
        <f t="shared" si="208"/>
        <v/>
      </c>
      <c r="X398" s="103" t="str">
        <f t="shared" si="209"/>
        <v/>
      </c>
      <c r="Y398" s="100" t="str">
        <f t="shared" si="210"/>
        <v/>
      </c>
      <c r="Z398" s="100" t="str">
        <f t="shared" si="211"/>
        <v/>
      </c>
      <c r="AA398" s="100" t="e">
        <f t="shared" si="212"/>
        <v>#VALUE!</v>
      </c>
      <c r="AB398" s="100" t="e">
        <f t="shared" si="213"/>
        <v>#VALUE!</v>
      </c>
      <c r="AC398" s="100" t="e">
        <f t="shared" si="214"/>
        <v>#VALUE!</v>
      </c>
      <c r="AD398" s="100" t="e">
        <f t="shared" si="215"/>
        <v>#VALUE!</v>
      </c>
      <c r="AE398" s="8" t="str">
        <f t="shared" si="188"/>
        <v/>
      </c>
      <c r="AF398" s="8" t="str">
        <f t="shared" si="189"/>
        <v/>
      </c>
      <c r="AG398" s="7" t="str">
        <f t="shared" si="216"/>
        <v>Good</v>
      </c>
      <c r="AI398" s="100">
        <f t="shared" si="217"/>
        <v>29.029400486</v>
      </c>
      <c r="AJ398" s="100">
        <f t="shared" si="218"/>
        <v>47.562613044999999</v>
      </c>
    </row>
    <row r="399" spans="1:36" x14ac:dyDescent="0.2">
      <c r="A399" s="8">
        <v>41.223999999999997</v>
      </c>
      <c r="B399" s="100">
        <v>29.029568236999999</v>
      </c>
      <c r="C399" s="100">
        <v>47.562121457000003</v>
      </c>
      <c r="D399" s="101">
        <v>41224.068405037746</v>
      </c>
      <c r="E399" s="42" t="str">
        <f t="shared" si="190"/>
        <v/>
      </c>
      <c r="F399" s="7" t="str">
        <f t="shared" si="191"/>
        <v/>
      </c>
      <c r="G399" s="100" t="str">
        <f t="shared" si="192"/>
        <v/>
      </c>
      <c r="H399" s="100" t="str">
        <f t="shared" si="193"/>
        <v/>
      </c>
      <c r="I399" s="100" t="str">
        <f t="shared" si="194"/>
        <v/>
      </c>
      <c r="J399" s="100" t="str">
        <f t="shared" si="195"/>
        <v/>
      </c>
      <c r="K399" s="102" t="str">
        <f t="shared" si="196"/>
        <v/>
      </c>
      <c r="L399" s="103" t="str">
        <f t="shared" si="197"/>
        <v/>
      </c>
      <c r="M399" s="103" t="str">
        <f t="shared" si="198"/>
        <v/>
      </c>
      <c r="N399" s="103" t="str">
        <f t="shared" si="199"/>
        <v/>
      </c>
      <c r="O399" s="103" t="str">
        <f t="shared" si="200"/>
        <v/>
      </c>
      <c r="P399" s="105" t="str">
        <f t="shared" si="201"/>
        <v/>
      </c>
      <c r="Q399" s="105" t="str">
        <f t="shared" si="202"/>
        <v/>
      </c>
      <c r="R399" s="104" t="str">
        <f t="shared" si="203"/>
        <v/>
      </c>
      <c r="S399" s="104" t="str">
        <f t="shared" si="204"/>
        <v/>
      </c>
      <c r="T399" s="105" t="str">
        <f t="shared" si="205"/>
        <v/>
      </c>
      <c r="U399" s="14" t="str">
        <f t="shared" si="206"/>
        <v/>
      </c>
      <c r="V399" s="14" t="str">
        <f t="shared" si="207"/>
        <v/>
      </c>
      <c r="W399" s="103" t="str">
        <f t="shared" si="208"/>
        <v/>
      </c>
      <c r="X399" s="103" t="str">
        <f t="shared" si="209"/>
        <v/>
      </c>
      <c r="Y399" s="100" t="str">
        <f t="shared" si="210"/>
        <v/>
      </c>
      <c r="Z399" s="100" t="str">
        <f t="shared" si="211"/>
        <v/>
      </c>
      <c r="AA399" s="100" t="e">
        <f t="shared" si="212"/>
        <v>#VALUE!</v>
      </c>
      <c r="AB399" s="100" t="e">
        <f t="shared" si="213"/>
        <v>#VALUE!</v>
      </c>
      <c r="AC399" s="100" t="e">
        <f t="shared" si="214"/>
        <v>#VALUE!</v>
      </c>
      <c r="AD399" s="100" t="e">
        <f t="shared" si="215"/>
        <v>#VALUE!</v>
      </c>
      <c r="AE399" s="8" t="str">
        <f t="shared" si="188"/>
        <v/>
      </c>
      <c r="AF399" s="8" t="str">
        <f t="shared" si="189"/>
        <v/>
      </c>
      <c r="AG399" s="7" t="str">
        <f t="shared" si="216"/>
        <v>Good</v>
      </c>
      <c r="AI399" s="100">
        <f t="shared" si="217"/>
        <v>29.029568236999999</v>
      </c>
      <c r="AJ399" s="100">
        <f t="shared" si="218"/>
        <v>47.562121457000003</v>
      </c>
    </row>
    <row r="400" spans="1:36" x14ac:dyDescent="0.2">
      <c r="A400" s="8">
        <v>41.238</v>
      </c>
      <c r="B400" s="100">
        <v>29.029624839</v>
      </c>
      <c r="C400" s="100">
        <v>47.561992142000001</v>
      </c>
      <c r="D400" s="101">
        <v>41238.118939833956</v>
      </c>
      <c r="E400" s="42" t="str">
        <f t="shared" si="190"/>
        <v/>
      </c>
      <c r="F400" s="7" t="str">
        <f t="shared" si="191"/>
        <v/>
      </c>
      <c r="G400" s="100" t="str">
        <f t="shared" si="192"/>
        <v/>
      </c>
      <c r="H400" s="100" t="str">
        <f t="shared" si="193"/>
        <v/>
      </c>
      <c r="I400" s="100" t="str">
        <f t="shared" si="194"/>
        <v/>
      </c>
      <c r="J400" s="100" t="str">
        <f t="shared" si="195"/>
        <v/>
      </c>
      <c r="K400" s="102" t="str">
        <f t="shared" si="196"/>
        <v/>
      </c>
      <c r="L400" s="103" t="str">
        <f t="shared" si="197"/>
        <v/>
      </c>
      <c r="M400" s="103" t="str">
        <f t="shared" si="198"/>
        <v/>
      </c>
      <c r="N400" s="103" t="str">
        <f t="shared" si="199"/>
        <v/>
      </c>
      <c r="O400" s="103" t="str">
        <f t="shared" si="200"/>
        <v/>
      </c>
      <c r="P400" s="105" t="str">
        <f t="shared" si="201"/>
        <v/>
      </c>
      <c r="Q400" s="105" t="str">
        <f t="shared" si="202"/>
        <v/>
      </c>
      <c r="R400" s="104" t="str">
        <f t="shared" si="203"/>
        <v/>
      </c>
      <c r="S400" s="104" t="str">
        <f t="shared" si="204"/>
        <v/>
      </c>
      <c r="T400" s="105" t="str">
        <f t="shared" si="205"/>
        <v/>
      </c>
      <c r="U400" s="14" t="str">
        <f t="shared" si="206"/>
        <v/>
      </c>
      <c r="V400" s="14" t="str">
        <f t="shared" si="207"/>
        <v/>
      </c>
      <c r="W400" s="103" t="str">
        <f t="shared" si="208"/>
        <v/>
      </c>
      <c r="X400" s="103" t="str">
        <f t="shared" si="209"/>
        <v/>
      </c>
      <c r="Y400" s="100" t="str">
        <f t="shared" si="210"/>
        <v/>
      </c>
      <c r="Z400" s="100" t="str">
        <f t="shared" si="211"/>
        <v/>
      </c>
      <c r="AA400" s="100" t="e">
        <f t="shared" si="212"/>
        <v>#VALUE!</v>
      </c>
      <c r="AB400" s="100" t="e">
        <f t="shared" si="213"/>
        <v>#VALUE!</v>
      </c>
      <c r="AC400" s="100" t="e">
        <f t="shared" si="214"/>
        <v>#VALUE!</v>
      </c>
      <c r="AD400" s="100" t="e">
        <f t="shared" si="215"/>
        <v>#VALUE!</v>
      </c>
      <c r="AE400" s="8" t="str">
        <f t="shared" si="188"/>
        <v/>
      </c>
      <c r="AF400" s="8" t="str">
        <f t="shared" si="189"/>
        <v/>
      </c>
      <c r="AG400" s="7" t="str">
        <f t="shared" si="216"/>
        <v>Good</v>
      </c>
      <c r="AI400" s="100">
        <f t="shared" si="217"/>
        <v>29.029624839</v>
      </c>
      <c r="AJ400" s="100">
        <f t="shared" si="218"/>
        <v>47.561992142000001</v>
      </c>
    </row>
    <row r="401" spans="1:36" x14ac:dyDescent="0.2">
      <c r="A401" s="8">
        <v>41.292999999999999</v>
      </c>
      <c r="B401" s="100">
        <v>29.029766133999999</v>
      </c>
      <c r="C401" s="100">
        <v>47.561454804999997</v>
      </c>
      <c r="D401" s="101">
        <v>41292.636235770806</v>
      </c>
      <c r="E401" s="42" t="str">
        <f t="shared" si="190"/>
        <v/>
      </c>
      <c r="F401" s="7" t="str">
        <f t="shared" si="191"/>
        <v/>
      </c>
      <c r="G401" s="100" t="str">
        <f t="shared" si="192"/>
        <v/>
      </c>
      <c r="H401" s="100" t="str">
        <f t="shared" si="193"/>
        <v/>
      </c>
      <c r="I401" s="100" t="str">
        <f t="shared" si="194"/>
        <v/>
      </c>
      <c r="J401" s="100" t="str">
        <f t="shared" si="195"/>
        <v/>
      </c>
      <c r="K401" s="102" t="str">
        <f t="shared" si="196"/>
        <v/>
      </c>
      <c r="L401" s="103" t="str">
        <f t="shared" si="197"/>
        <v/>
      </c>
      <c r="M401" s="103" t="str">
        <f t="shared" si="198"/>
        <v/>
      </c>
      <c r="N401" s="103" t="str">
        <f t="shared" si="199"/>
        <v/>
      </c>
      <c r="O401" s="103" t="str">
        <f t="shared" si="200"/>
        <v/>
      </c>
      <c r="P401" s="105" t="str">
        <f t="shared" si="201"/>
        <v/>
      </c>
      <c r="Q401" s="105" t="str">
        <f t="shared" si="202"/>
        <v/>
      </c>
      <c r="R401" s="104" t="str">
        <f t="shared" si="203"/>
        <v/>
      </c>
      <c r="S401" s="104" t="str">
        <f t="shared" si="204"/>
        <v/>
      </c>
      <c r="T401" s="105" t="str">
        <f t="shared" si="205"/>
        <v/>
      </c>
      <c r="U401" s="14" t="str">
        <f t="shared" si="206"/>
        <v/>
      </c>
      <c r="V401" s="14" t="str">
        <f t="shared" si="207"/>
        <v/>
      </c>
      <c r="W401" s="103" t="str">
        <f t="shared" si="208"/>
        <v/>
      </c>
      <c r="X401" s="103" t="str">
        <f t="shared" si="209"/>
        <v/>
      </c>
      <c r="Y401" s="100" t="str">
        <f t="shared" si="210"/>
        <v/>
      </c>
      <c r="Z401" s="100" t="str">
        <f t="shared" si="211"/>
        <v/>
      </c>
      <c r="AA401" s="100" t="e">
        <f t="shared" si="212"/>
        <v>#VALUE!</v>
      </c>
      <c r="AB401" s="100" t="e">
        <f t="shared" si="213"/>
        <v>#VALUE!</v>
      </c>
      <c r="AC401" s="100" t="e">
        <f t="shared" si="214"/>
        <v>#VALUE!</v>
      </c>
      <c r="AD401" s="100" t="e">
        <f t="shared" si="215"/>
        <v>#VALUE!</v>
      </c>
      <c r="AE401" s="8" t="str">
        <f t="shared" si="188"/>
        <v/>
      </c>
      <c r="AF401" s="8" t="str">
        <f t="shared" si="189"/>
        <v/>
      </c>
      <c r="AG401" s="7" t="str">
        <f t="shared" si="216"/>
        <v>Good</v>
      </c>
      <c r="AI401" s="100">
        <f t="shared" si="217"/>
        <v>29.029766133999999</v>
      </c>
      <c r="AJ401" s="100">
        <f t="shared" si="218"/>
        <v>47.561454804999997</v>
      </c>
    </row>
    <row r="402" spans="1:36" x14ac:dyDescent="0.2">
      <c r="A402" s="8">
        <v>41.293999999999997</v>
      </c>
      <c r="B402" s="100">
        <v>29.029776514000002</v>
      </c>
      <c r="C402" s="100">
        <v>47.561445759000001</v>
      </c>
      <c r="D402" s="101">
        <v>41294.087484538264</v>
      </c>
      <c r="E402" s="42" t="str">
        <f t="shared" si="190"/>
        <v/>
      </c>
      <c r="F402" s="7" t="str">
        <f t="shared" si="191"/>
        <v/>
      </c>
      <c r="G402" s="100" t="str">
        <f t="shared" si="192"/>
        <v/>
      </c>
      <c r="H402" s="100" t="str">
        <f t="shared" si="193"/>
        <v/>
      </c>
      <c r="I402" s="100" t="str">
        <f t="shared" si="194"/>
        <v/>
      </c>
      <c r="J402" s="100" t="str">
        <f t="shared" si="195"/>
        <v/>
      </c>
      <c r="K402" s="102" t="str">
        <f t="shared" si="196"/>
        <v/>
      </c>
      <c r="L402" s="103" t="str">
        <f t="shared" si="197"/>
        <v/>
      </c>
      <c r="M402" s="103" t="str">
        <f t="shared" si="198"/>
        <v/>
      </c>
      <c r="N402" s="103" t="str">
        <f t="shared" si="199"/>
        <v/>
      </c>
      <c r="O402" s="103" t="str">
        <f t="shared" si="200"/>
        <v/>
      </c>
      <c r="P402" s="105" t="str">
        <f t="shared" si="201"/>
        <v/>
      </c>
      <c r="Q402" s="105" t="str">
        <f t="shared" si="202"/>
        <v/>
      </c>
      <c r="R402" s="104" t="str">
        <f t="shared" si="203"/>
        <v/>
      </c>
      <c r="S402" s="104" t="str">
        <f t="shared" si="204"/>
        <v/>
      </c>
      <c r="T402" s="105" t="str">
        <f t="shared" si="205"/>
        <v/>
      </c>
      <c r="U402" s="14" t="str">
        <f t="shared" si="206"/>
        <v/>
      </c>
      <c r="V402" s="14" t="str">
        <f t="shared" si="207"/>
        <v/>
      </c>
      <c r="W402" s="103" t="str">
        <f t="shared" si="208"/>
        <v/>
      </c>
      <c r="X402" s="103" t="str">
        <f t="shared" si="209"/>
        <v/>
      </c>
      <c r="Y402" s="100" t="str">
        <f t="shared" si="210"/>
        <v/>
      </c>
      <c r="Z402" s="100" t="str">
        <f t="shared" si="211"/>
        <v/>
      </c>
      <c r="AA402" s="100" t="e">
        <f t="shared" si="212"/>
        <v>#VALUE!</v>
      </c>
      <c r="AB402" s="100" t="e">
        <f t="shared" si="213"/>
        <v>#VALUE!</v>
      </c>
      <c r="AC402" s="100" t="e">
        <f t="shared" si="214"/>
        <v>#VALUE!</v>
      </c>
      <c r="AD402" s="100" t="e">
        <f t="shared" si="215"/>
        <v>#VALUE!</v>
      </c>
      <c r="AE402" s="8" t="str">
        <f t="shared" si="188"/>
        <v/>
      </c>
      <c r="AF402" s="8" t="str">
        <f t="shared" si="189"/>
        <v/>
      </c>
      <c r="AG402" s="7" t="str">
        <f t="shared" si="216"/>
        <v>Good</v>
      </c>
      <c r="AI402" s="100">
        <f t="shared" si="217"/>
        <v>29.029776514000002</v>
      </c>
      <c r="AJ402" s="100">
        <f t="shared" si="218"/>
        <v>47.561445759000001</v>
      </c>
    </row>
    <row r="403" spans="1:36" x14ac:dyDescent="0.2">
      <c r="A403" s="8">
        <v>41.302999999999997</v>
      </c>
      <c r="B403" s="100">
        <v>29.029788651</v>
      </c>
      <c r="C403" s="100">
        <v>47.561352818000003</v>
      </c>
      <c r="D403" s="101">
        <v>41303.217811362563</v>
      </c>
      <c r="E403" s="42" t="str">
        <f t="shared" si="190"/>
        <v/>
      </c>
      <c r="F403" s="7" t="str">
        <f t="shared" si="191"/>
        <v/>
      </c>
      <c r="G403" s="100" t="str">
        <f t="shared" si="192"/>
        <v/>
      </c>
      <c r="H403" s="100" t="str">
        <f t="shared" si="193"/>
        <v/>
      </c>
      <c r="I403" s="100" t="str">
        <f t="shared" si="194"/>
        <v/>
      </c>
      <c r="J403" s="100" t="str">
        <f t="shared" si="195"/>
        <v/>
      </c>
      <c r="K403" s="102" t="str">
        <f t="shared" si="196"/>
        <v/>
      </c>
      <c r="L403" s="103" t="str">
        <f t="shared" si="197"/>
        <v/>
      </c>
      <c r="M403" s="103" t="str">
        <f t="shared" si="198"/>
        <v/>
      </c>
      <c r="N403" s="103" t="str">
        <f t="shared" si="199"/>
        <v/>
      </c>
      <c r="O403" s="103" t="str">
        <f t="shared" si="200"/>
        <v/>
      </c>
      <c r="P403" s="105" t="str">
        <f t="shared" si="201"/>
        <v/>
      </c>
      <c r="Q403" s="105" t="str">
        <f t="shared" si="202"/>
        <v/>
      </c>
      <c r="R403" s="104" t="str">
        <f t="shared" si="203"/>
        <v/>
      </c>
      <c r="S403" s="104" t="str">
        <f t="shared" si="204"/>
        <v/>
      </c>
      <c r="T403" s="105" t="str">
        <f t="shared" si="205"/>
        <v/>
      </c>
      <c r="U403" s="14" t="str">
        <f t="shared" si="206"/>
        <v/>
      </c>
      <c r="V403" s="14" t="str">
        <f t="shared" si="207"/>
        <v/>
      </c>
      <c r="W403" s="103" t="str">
        <f t="shared" si="208"/>
        <v/>
      </c>
      <c r="X403" s="103" t="str">
        <f t="shared" si="209"/>
        <v/>
      </c>
      <c r="Y403" s="100" t="str">
        <f t="shared" si="210"/>
        <v/>
      </c>
      <c r="Z403" s="100" t="str">
        <f t="shared" si="211"/>
        <v/>
      </c>
      <c r="AA403" s="100" t="e">
        <f t="shared" si="212"/>
        <v>#VALUE!</v>
      </c>
      <c r="AB403" s="100" t="e">
        <f t="shared" si="213"/>
        <v>#VALUE!</v>
      </c>
      <c r="AC403" s="100" t="e">
        <f t="shared" si="214"/>
        <v>#VALUE!</v>
      </c>
      <c r="AD403" s="100" t="e">
        <f t="shared" si="215"/>
        <v>#VALUE!</v>
      </c>
      <c r="AE403" s="8" t="str">
        <f t="shared" si="188"/>
        <v/>
      </c>
      <c r="AF403" s="8" t="str">
        <f t="shared" si="189"/>
        <v/>
      </c>
      <c r="AG403" s="7" t="str">
        <f t="shared" si="216"/>
        <v>Good</v>
      </c>
      <c r="AI403" s="100">
        <f t="shared" si="217"/>
        <v>29.029788651</v>
      </c>
      <c r="AJ403" s="100">
        <f t="shared" si="218"/>
        <v>47.561352818000003</v>
      </c>
    </row>
    <row r="404" spans="1:36" x14ac:dyDescent="0.2">
      <c r="A404" s="8">
        <v>41.323</v>
      </c>
      <c r="B404" s="100">
        <v>29.029797131999999</v>
      </c>
      <c r="C404" s="100">
        <v>47.561152298000003</v>
      </c>
      <c r="D404" s="101">
        <v>41322.723226426242</v>
      </c>
      <c r="E404" s="42" t="str">
        <f t="shared" si="190"/>
        <v/>
      </c>
      <c r="F404" s="7" t="str">
        <f t="shared" si="191"/>
        <v/>
      </c>
      <c r="G404" s="100" t="str">
        <f t="shared" si="192"/>
        <v/>
      </c>
      <c r="H404" s="100" t="str">
        <f t="shared" si="193"/>
        <v/>
      </c>
      <c r="I404" s="100" t="str">
        <f t="shared" si="194"/>
        <v/>
      </c>
      <c r="J404" s="100" t="str">
        <f t="shared" si="195"/>
        <v/>
      </c>
      <c r="K404" s="102" t="str">
        <f t="shared" si="196"/>
        <v/>
      </c>
      <c r="L404" s="103" t="str">
        <f t="shared" si="197"/>
        <v/>
      </c>
      <c r="M404" s="103" t="str">
        <f t="shared" si="198"/>
        <v/>
      </c>
      <c r="N404" s="103" t="str">
        <f t="shared" si="199"/>
        <v/>
      </c>
      <c r="O404" s="103" t="str">
        <f t="shared" si="200"/>
        <v/>
      </c>
      <c r="P404" s="105" t="str">
        <f t="shared" si="201"/>
        <v/>
      </c>
      <c r="Q404" s="105" t="str">
        <f t="shared" si="202"/>
        <v/>
      </c>
      <c r="R404" s="104" t="str">
        <f t="shared" si="203"/>
        <v/>
      </c>
      <c r="S404" s="104" t="str">
        <f t="shared" si="204"/>
        <v/>
      </c>
      <c r="T404" s="105" t="str">
        <f t="shared" si="205"/>
        <v/>
      </c>
      <c r="U404" s="14" t="str">
        <f t="shared" si="206"/>
        <v/>
      </c>
      <c r="V404" s="14" t="str">
        <f t="shared" si="207"/>
        <v/>
      </c>
      <c r="W404" s="103" t="str">
        <f t="shared" si="208"/>
        <v/>
      </c>
      <c r="X404" s="103" t="str">
        <f t="shared" si="209"/>
        <v/>
      </c>
      <c r="Y404" s="100" t="str">
        <f t="shared" si="210"/>
        <v/>
      </c>
      <c r="Z404" s="100" t="str">
        <f t="shared" si="211"/>
        <v/>
      </c>
      <c r="AA404" s="100" t="e">
        <f t="shared" si="212"/>
        <v>#VALUE!</v>
      </c>
      <c r="AB404" s="100" t="e">
        <f t="shared" si="213"/>
        <v>#VALUE!</v>
      </c>
      <c r="AC404" s="100" t="e">
        <f t="shared" si="214"/>
        <v>#VALUE!</v>
      </c>
      <c r="AD404" s="100" t="e">
        <f t="shared" si="215"/>
        <v>#VALUE!</v>
      </c>
      <c r="AE404" s="8" t="str">
        <f t="shared" si="188"/>
        <v/>
      </c>
      <c r="AF404" s="8" t="str">
        <f t="shared" si="189"/>
        <v/>
      </c>
      <c r="AG404" s="7" t="str">
        <f t="shared" si="216"/>
        <v>Good</v>
      </c>
      <c r="AI404" s="100">
        <f t="shared" si="217"/>
        <v>29.029797131999999</v>
      </c>
      <c r="AJ404" s="100">
        <f t="shared" si="218"/>
        <v>47.561152298000003</v>
      </c>
    </row>
    <row r="405" spans="1:36" x14ac:dyDescent="0.2">
      <c r="A405" s="8">
        <v>41.325000000000003</v>
      </c>
      <c r="B405" s="100">
        <v>29.029788527000001</v>
      </c>
      <c r="C405" s="100">
        <v>47.561135851000003</v>
      </c>
      <c r="D405" s="101">
        <v>41324.584731824398</v>
      </c>
      <c r="E405" s="42" t="str">
        <f t="shared" si="190"/>
        <v/>
      </c>
      <c r="F405" s="7" t="str">
        <f t="shared" si="191"/>
        <v/>
      </c>
      <c r="G405" s="100" t="str">
        <f t="shared" si="192"/>
        <v/>
      </c>
      <c r="H405" s="100" t="str">
        <f t="shared" si="193"/>
        <v/>
      </c>
      <c r="I405" s="100" t="str">
        <f t="shared" si="194"/>
        <v/>
      </c>
      <c r="J405" s="100" t="str">
        <f t="shared" si="195"/>
        <v/>
      </c>
      <c r="K405" s="102" t="str">
        <f t="shared" si="196"/>
        <v/>
      </c>
      <c r="L405" s="103" t="str">
        <f t="shared" si="197"/>
        <v/>
      </c>
      <c r="M405" s="103" t="str">
        <f t="shared" si="198"/>
        <v/>
      </c>
      <c r="N405" s="103" t="str">
        <f t="shared" si="199"/>
        <v/>
      </c>
      <c r="O405" s="103" t="str">
        <f t="shared" si="200"/>
        <v/>
      </c>
      <c r="P405" s="105" t="str">
        <f t="shared" si="201"/>
        <v/>
      </c>
      <c r="Q405" s="105" t="str">
        <f t="shared" si="202"/>
        <v/>
      </c>
      <c r="R405" s="104" t="str">
        <f t="shared" si="203"/>
        <v/>
      </c>
      <c r="S405" s="104" t="str">
        <f t="shared" si="204"/>
        <v/>
      </c>
      <c r="T405" s="105" t="str">
        <f t="shared" si="205"/>
        <v/>
      </c>
      <c r="U405" s="14" t="str">
        <f t="shared" si="206"/>
        <v/>
      </c>
      <c r="V405" s="14" t="str">
        <f t="shared" si="207"/>
        <v/>
      </c>
      <c r="W405" s="103" t="str">
        <f t="shared" si="208"/>
        <v/>
      </c>
      <c r="X405" s="103" t="str">
        <f t="shared" si="209"/>
        <v/>
      </c>
      <c r="Y405" s="100" t="str">
        <f t="shared" si="210"/>
        <v/>
      </c>
      <c r="Z405" s="100" t="str">
        <f t="shared" si="211"/>
        <v/>
      </c>
      <c r="AA405" s="100" t="e">
        <f t="shared" si="212"/>
        <v>#VALUE!</v>
      </c>
      <c r="AB405" s="100" t="e">
        <f t="shared" si="213"/>
        <v>#VALUE!</v>
      </c>
      <c r="AC405" s="100" t="e">
        <f t="shared" si="214"/>
        <v>#VALUE!</v>
      </c>
      <c r="AD405" s="100" t="e">
        <f t="shared" si="215"/>
        <v>#VALUE!</v>
      </c>
      <c r="AE405" s="8" t="str">
        <f t="shared" si="188"/>
        <v/>
      </c>
      <c r="AF405" s="8" t="str">
        <f t="shared" si="189"/>
        <v/>
      </c>
      <c r="AG405" s="7" t="str">
        <f t="shared" si="216"/>
        <v>Good</v>
      </c>
      <c r="AI405" s="100">
        <f t="shared" si="217"/>
        <v>29.029788527000001</v>
      </c>
      <c r="AJ405" s="100">
        <f t="shared" si="218"/>
        <v>47.561135851000003</v>
      </c>
    </row>
    <row r="406" spans="1:36" x14ac:dyDescent="0.2">
      <c r="A406" s="8">
        <v>41.33</v>
      </c>
      <c r="B406" s="100">
        <v>29.029764921000002</v>
      </c>
      <c r="C406" s="100">
        <v>47.561092664999997</v>
      </c>
      <c r="D406" s="101">
        <v>41329.532603041676</v>
      </c>
      <c r="E406" s="42" t="str">
        <f t="shared" si="190"/>
        <v/>
      </c>
      <c r="F406" s="7" t="str">
        <f t="shared" si="191"/>
        <v/>
      </c>
      <c r="G406" s="100" t="str">
        <f t="shared" si="192"/>
        <v/>
      </c>
      <c r="H406" s="100" t="str">
        <f t="shared" si="193"/>
        <v/>
      </c>
      <c r="I406" s="100" t="str">
        <f t="shared" si="194"/>
        <v/>
      </c>
      <c r="J406" s="100" t="str">
        <f t="shared" si="195"/>
        <v/>
      </c>
      <c r="K406" s="102" t="str">
        <f t="shared" si="196"/>
        <v/>
      </c>
      <c r="L406" s="103" t="str">
        <f t="shared" si="197"/>
        <v/>
      </c>
      <c r="M406" s="103" t="str">
        <f t="shared" si="198"/>
        <v/>
      </c>
      <c r="N406" s="103" t="str">
        <f t="shared" si="199"/>
        <v/>
      </c>
      <c r="O406" s="103" t="str">
        <f t="shared" si="200"/>
        <v/>
      </c>
      <c r="P406" s="105" t="str">
        <f t="shared" si="201"/>
        <v/>
      </c>
      <c r="Q406" s="105" t="str">
        <f t="shared" si="202"/>
        <v/>
      </c>
      <c r="R406" s="104" t="str">
        <f t="shared" si="203"/>
        <v/>
      </c>
      <c r="S406" s="104" t="str">
        <f t="shared" si="204"/>
        <v/>
      </c>
      <c r="T406" s="105" t="str">
        <f t="shared" si="205"/>
        <v/>
      </c>
      <c r="U406" s="14" t="str">
        <f t="shared" si="206"/>
        <v/>
      </c>
      <c r="V406" s="14" t="str">
        <f t="shared" si="207"/>
        <v/>
      </c>
      <c r="W406" s="103" t="str">
        <f t="shared" si="208"/>
        <v/>
      </c>
      <c r="X406" s="103" t="str">
        <f t="shared" si="209"/>
        <v/>
      </c>
      <c r="Y406" s="100" t="str">
        <f t="shared" si="210"/>
        <v/>
      </c>
      <c r="Z406" s="100" t="str">
        <f t="shared" si="211"/>
        <v/>
      </c>
      <c r="AA406" s="100" t="e">
        <f t="shared" si="212"/>
        <v>#VALUE!</v>
      </c>
      <c r="AB406" s="100" t="e">
        <f t="shared" si="213"/>
        <v>#VALUE!</v>
      </c>
      <c r="AC406" s="100" t="e">
        <f t="shared" si="214"/>
        <v>#VALUE!</v>
      </c>
      <c r="AD406" s="100" t="e">
        <f t="shared" si="215"/>
        <v>#VALUE!</v>
      </c>
      <c r="AE406" s="8" t="str">
        <f t="shared" si="188"/>
        <v/>
      </c>
      <c r="AF406" s="8" t="str">
        <f t="shared" si="189"/>
        <v/>
      </c>
      <c r="AG406" s="7" t="str">
        <f t="shared" si="216"/>
        <v>Good</v>
      </c>
      <c r="AI406" s="100">
        <f t="shared" si="217"/>
        <v>29.029764921000002</v>
      </c>
      <c r="AJ406" s="100">
        <f t="shared" si="218"/>
        <v>47.561092664999997</v>
      </c>
    </row>
    <row r="407" spans="1:36" x14ac:dyDescent="0.2">
      <c r="A407" s="8">
        <v>41.337000000000003</v>
      </c>
      <c r="D407" s="101">
        <v>41337</v>
      </c>
      <c r="E407" s="42">
        <f t="shared" si="190"/>
        <v>7.4673969583236612</v>
      </c>
      <c r="F407" s="7">
        <f t="shared" si="191"/>
        <v>1</v>
      </c>
      <c r="G407" s="100">
        <f t="shared" si="192"/>
        <v>29.029764921000002</v>
      </c>
      <c r="H407" s="100">
        <f t="shared" si="193"/>
        <v>47.561092664999997</v>
      </c>
      <c r="I407" s="100">
        <f t="shared" si="194"/>
        <v>29.029703617999999</v>
      </c>
      <c r="J407" s="100">
        <f t="shared" si="195"/>
        <v>47.560961138000003</v>
      </c>
      <c r="K407" s="102">
        <f t="shared" si="196"/>
        <v>38</v>
      </c>
      <c r="L407" s="103">
        <f t="shared" si="197"/>
        <v>3213989.598428343</v>
      </c>
      <c r="M407" s="103">
        <f t="shared" si="198"/>
        <v>749423.01466979343</v>
      </c>
      <c r="N407" s="103">
        <f t="shared" si="199"/>
        <v>3213982.5248087198</v>
      </c>
      <c r="O407" s="103">
        <f t="shared" si="200"/>
        <v>749410.34829548444</v>
      </c>
      <c r="P407" s="105">
        <f t="shared" si="201"/>
        <v>-7.0736196232028306</v>
      </c>
      <c r="Q407" s="105">
        <f t="shared" si="202"/>
        <v>-12.666374308988452</v>
      </c>
      <c r="R407" s="104">
        <f t="shared" si="203"/>
        <v>14.507692191012422</v>
      </c>
      <c r="S407" s="104" t="str">
        <f t="shared" si="204"/>
        <v>SW</v>
      </c>
      <c r="T407" s="105">
        <f t="shared" si="205"/>
        <v>0.50931256718993834</v>
      </c>
      <c r="U407" s="14">
        <f t="shared" si="206"/>
        <v>-6.5196341184109938</v>
      </c>
      <c r="V407" s="14">
        <f t="shared" si="207"/>
        <v>-3.6409323387331409</v>
      </c>
      <c r="W407" s="103">
        <f t="shared" si="208"/>
        <v>3213985.9574960042</v>
      </c>
      <c r="X407" s="103">
        <f t="shared" si="209"/>
        <v>749416.49503567501</v>
      </c>
      <c r="Y407" s="100">
        <f t="shared" si="210"/>
        <v>29.029733338154895</v>
      </c>
      <c r="Z407" s="100">
        <f t="shared" si="211"/>
        <v>47.561024965602321</v>
      </c>
      <c r="AA407" s="100">
        <f t="shared" si="212"/>
        <v>3.1582845107180901E-5</v>
      </c>
      <c r="AB407" s="100">
        <f t="shared" si="213"/>
        <v>2.9720154895329642E-5</v>
      </c>
      <c r="AC407" s="100">
        <f t="shared" si="214"/>
        <v>6.7699397675369255E-5</v>
      </c>
      <c r="AD407" s="100">
        <f t="shared" si="215"/>
        <v>6.3827602318156096E-5</v>
      </c>
      <c r="AE407" s="8" t="str">
        <f t="shared" si="188"/>
        <v>Good</v>
      </c>
      <c r="AF407" s="8" t="str">
        <f t="shared" si="189"/>
        <v>Good</v>
      </c>
      <c r="AG407" s="7" t="str">
        <f t="shared" si="216"/>
        <v>Good</v>
      </c>
      <c r="AI407" s="100">
        <f t="shared" si="217"/>
        <v>29.029733338154895</v>
      </c>
      <c r="AJ407" s="100">
        <f t="shared" si="218"/>
        <v>47.561024965602321</v>
      </c>
    </row>
    <row r="408" spans="1:36" x14ac:dyDescent="0.2">
      <c r="A408" s="8">
        <v>41.344000000000001</v>
      </c>
      <c r="B408" s="100">
        <v>29.029703617999999</v>
      </c>
      <c r="C408" s="100">
        <v>47.560961138000003</v>
      </c>
      <c r="D408" s="101">
        <v>41344.01373716435</v>
      </c>
      <c r="E408" s="42" t="str">
        <f t="shared" si="190"/>
        <v/>
      </c>
      <c r="F408" s="7" t="str">
        <f t="shared" si="191"/>
        <v/>
      </c>
      <c r="G408" s="100" t="str">
        <f t="shared" si="192"/>
        <v/>
      </c>
      <c r="H408" s="100" t="str">
        <f t="shared" si="193"/>
        <v/>
      </c>
      <c r="I408" s="100" t="str">
        <f t="shared" si="194"/>
        <v/>
      </c>
      <c r="J408" s="100" t="str">
        <f t="shared" si="195"/>
        <v/>
      </c>
      <c r="K408" s="102" t="str">
        <f t="shared" si="196"/>
        <v/>
      </c>
      <c r="L408" s="103" t="str">
        <f t="shared" si="197"/>
        <v/>
      </c>
      <c r="M408" s="103" t="str">
        <f t="shared" si="198"/>
        <v/>
      </c>
      <c r="N408" s="103" t="str">
        <f t="shared" si="199"/>
        <v/>
      </c>
      <c r="O408" s="103" t="str">
        <f t="shared" si="200"/>
        <v/>
      </c>
      <c r="P408" s="105" t="str">
        <f t="shared" si="201"/>
        <v/>
      </c>
      <c r="Q408" s="105" t="str">
        <f t="shared" si="202"/>
        <v/>
      </c>
      <c r="R408" s="104" t="str">
        <f t="shared" si="203"/>
        <v/>
      </c>
      <c r="S408" s="104" t="str">
        <f t="shared" si="204"/>
        <v/>
      </c>
      <c r="T408" s="105" t="str">
        <f t="shared" si="205"/>
        <v/>
      </c>
      <c r="U408" s="14" t="str">
        <f t="shared" si="206"/>
        <v/>
      </c>
      <c r="V408" s="14" t="str">
        <f t="shared" si="207"/>
        <v/>
      </c>
      <c r="W408" s="103" t="str">
        <f t="shared" si="208"/>
        <v/>
      </c>
      <c r="X408" s="103" t="str">
        <f t="shared" si="209"/>
        <v/>
      </c>
      <c r="Y408" s="100" t="str">
        <f t="shared" si="210"/>
        <v/>
      </c>
      <c r="Z408" s="100" t="str">
        <f t="shared" si="211"/>
        <v/>
      </c>
      <c r="AA408" s="100" t="e">
        <f t="shared" si="212"/>
        <v>#VALUE!</v>
      </c>
      <c r="AB408" s="100" t="e">
        <f t="shared" si="213"/>
        <v>#VALUE!</v>
      </c>
      <c r="AC408" s="100" t="e">
        <f t="shared" si="214"/>
        <v>#VALUE!</v>
      </c>
      <c r="AD408" s="100" t="e">
        <f t="shared" si="215"/>
        <v>#VALUE!</v>
      </c>
      <c r="AE408" s="8" t="str">
        <f t="shared" si="188"/>
        <v/>
      </c>
      <c r="AF408" s="8" t="str">
        <f t="shared" si="189"/>
        <v/>
      </c>
      <c r="AG408" s="7" t="str">
        <f t="shared" si="216"/>
        <v>Good</v>
      </c>
      <c r="AI408" s="100">
        <f t="shared" si="217"/>
        <v>29.029703617999999</v>
      </c>
      <c r="AJ408" s="100">
        <f t="shared" si="218"/>
        <v>47.560961138000003</v>
      </c>
    </row>
    <row r="409" spans="1:36" x14ac:dyDescent="0.2">
      <c r="A409" s="8">
        <v>41.351999999999997</v>
      </c>
      <c r="D409" s="101">
        <v>41352</v>
      </c>
      <c r="E409" s="42">
        <f t="shared" si="190"/>
        <v>7.9862628356495406</v>
      </c>
      <c r="F409" s="7">
        <f t="shared" si="191"/>
        <v>1</v>
      </c>
      <c r="G409" s="100">
        <f t="shared" si="192"/>
        <v>29.029703617999999</v>
      </c>
      <c r="H409" s="100">
        <f t="shared" si="193"/>
        <v>47.560961138000003</v>
      </c>
      <c r="I409" s="100">
        <f t="shared" si="194"/>
        <v>29.029631437999999</v>
      </c>
      <c r="J409" s="100">
        <f t="shared" si="195"/>
        <v>47.560808301000002</v>
      </c>
      <c r="K409" s="102">
        <f t="shared" si="196"/>
        <v>38</v>
      </c>
      <c r="L409" s="103">
        <f t="shared" si="197"/>
        <v>3213982.5248087198</v>
      </c>
      <c r="M409" s="103">
        <f t="shared" si="198"/>
        <v>749410.34829548444</v>
      </c>
      <c r="N409" s="103">
        <f t="shared" si="199"/>
        <v>3213974.2004207349</v>
      </c>
      <c r="O409" s="103">
        <f t="shared" si="200"/>
        <v>749395.6319698419</v>
      </c>
      <c r="P409" s="105">
        <f t="shared" si="201"/>
        <v>-8.324387984815985</v>
      </c>
      <c r="Q409" s="105">
        <f t="shared" si="202"/>
        <v>-14.716325642541051</v>
      </c>
      <c r="R409" s="104">
        <f t="shared" si="203"/>
        <v>16.907562678844638</v>
      </c>
      <c r="S409" s="104" t="str">
        <f t="shared" si="204"/>
        <v>SW</v>
      </c>
      <c r="T409" s="105">
        <f t="shared" si="205"/>
        <v>0.51478418249620028</v>
      </c>
      <c r="U409" s="14">
        <f t="shared" si="206"/>
        <v>-6.9512351832590182</v>
      </c>
      <c r="V409" s="14">
        <f t="shared" si="207"/>
        <v>-3.9320126534764612</v>
      </c>
      <c r="W409" s="103">
        <f t="shared" si="208"/>
        <v>3213978.5927960663</v>
      </c>
      <c r="X409" s="103">
        <f t="shared" si="209"/>
        <v>749403.39706030115</v>
      </c>
      <c r="Y409" s="100">
        <f t="shared" si="210"/>
        <v>29.029669494910493</v>
      </c>
      <c r="Z409" s="100">
        <f t="shared" si="211"/>
        <v>47.56088894581476</v>
      </c>
      <c r="AA409" s="100">
        <f t="shared" si="212"/>
        <v>3.4123089506010729E-5</v>
      </c>
      <c r="AB409" s="100">
        <f t="shared" si="213"/>
        <v>3.8056910494077556E-5</v>
      </c>
      <c r="AC409" s="100">
        <f t="shared" si="214"/>
        <v>7.2192185243125095E-5</v>
      </c>
      <c r="AD409" s="100">
        <f t="shared" si="215"/>
        <v>8.0644814758557004E-5</v>
      </c>
      <c r="AE409" s="8" t="str">
        <f t="shared" si="188"/>
        <v>Good</v>
      </c>
      <c r="AF409" s="8" t="str">
        <f t="shared" si="189"/>
        <v>Good</v>
      </c>
      <c r="AG409" s="7" t="str">
        <f t="shared" si="216"/>
        <v>Good</v>
      </c>
      <c r="AI409" s="100">
        <f t="shared" si="217"/>
        <v>29.029669494910493</v>
      </c>
      <c r="AJ409" s="100">
        <f t="shared" si="218"/>
        <v>47.56088894581476</v>
      </c>
    </row>
    <row r="410" spans="1:36" x14ac:dyDescent="0.2">
      <c r="A410" s="8">
        <v>41.360999999999997</v>
      </c>
      <c r="B410" s="100">
        <v>29.029631437999999</v>
      </c>
      <c r="C410" s="100">
        <v>47.560808301000002</v>
      </c>
      <c r="D410" s="101">
        <v>41360.890929853362</v>
      </c>
      <c r="E410" s="42" t="str">
        <f t="shared" si="190"/>
        <v/>
      </c>
      <c r="F410" s="7" t="str">
        <f t="shared" si="191"/>
        <v/>
      </c>
      <c r="G410" s="100" t="str">
        <f t="shared" si="192"/>
        <v/>
      </c>
      <c r="H410" s="100" t="str">
        <f t="shared" si="193"/>
        <v/>
      </c>
      <c r="I410" s="100" t="str">
        <f t="shared" si="194"/>
        <v/>
      </c>
      <c r="J410" s="100" t="str">
        <f t="shared" si="195"/>
        <v/>
      </c>
      <c r="K410" s="102" t="str">
        <f t="shared" si="196"/>
        <v/>
      </c>
      <c r="L410" s="103" t="str">
        <f t="shared" si="197"/>
        <v/>
      </c>
      <c r="M410" s="103" t="str">
        <f t="shared" si="198"/>
        <v/>
      </c>
      <c r="N410" s="103" t="str">
        <f t="shared" si="199"/>
        <v/>
      </c>
      <c r="O410" s="103" t="str">
        <f t="shared" si="200"/>
        <v/>
      </c>
      <c r="P410" s="105" t="str">
        <f t="shared" si="201"/>
        <v/>
      </c>
      <c r="Q410" s="105" t="str">
        <f t="shared" si="202"/>
        <v/>
      </c>
      <c r="R410" s="104" t="str">
        <f t="shared" si="203"/>
        <v/>
      </c>
      <c r="S410" s="104" t="str">
        <f t="shared" si="204"/>
        <v/>
      </c>
      <c r="T410" s="105" t="str">
        <f t="shared" si="205"/>
        <v/>
      </c>
      <c r="U410" s="14" t="str">
        <f t="shared" si="206"/>
        <v/>
      </c>
      <c r="V410" s="14" t="str">
        <f t="shared" si="207"/>
        <v/>
      </c>
      <c r="W410" s="103" t="str">
        <f t="shared" si="208"/>
        <v/>
      </c>
      <c r="X410" s="103" t="str">
        <f t="shared" si="209"/>
        <v/>
      </c>
      <c r="Y410" s="100" t="str">
        <f t="shared" si="210"/>
        <v/>
      </c>
      <c r="Z410" s="100" t="str">
        <f t="shared" si="211"/>
        <v/>
      </c>
      <c r="AA410" s="100" t="e">
        <f t="shared" si="212"/>
        <v>#VALUE!</v>
      </c>
      <c r="AB410" s="100" t="e">
        <f t="shared" si="213"/>
        <v>#VALUE!</v>
      </c>
      <c r="AC410" s="100" t="e">
        <f t="shared" si="214"/>
        <v>#VALUE!</v>
      </c>
      <c r="AD410" s="100" t="e">
        <f t="shared" si="215"/>
        <v>#VALUE!</v>
      </c>
      <c r="AE410" s="8" t="str">
        <f t="shared" si="188"/>
        <v/>
      </c>
      <c r="AF410" s="8" t="str">
        <f t="shared" si="189"/>
        <v/>
      </c>
      <c r="AG410" s="7" t="str">
        <f t="shared" si="216"/>
        <v>Good</v>
      </c>
      <c r="AI410" s="100">
        <f t="shared" si="217"/>
        <v>29.029631437999999</v>
      </c>
      <c r="AJ410" s="100">
        <f t="shared" si="218"/>
        <v>47.560808301000002</v>
      </c>
    </row>
    <row r="411" spans="1:36" x14ac:dyDescent="0.2">
      <c r="A411" s="8">
        <v>41.363</v>
      </c>
      <c r="B411" s="100">
        <v>29.029618161999998</v>
      </c>
      <c r="C411" s="100">
        <v>47.560795704</v>
      </c>
      <c r="D411" s="101">
        <v>41362.80957910802</v>
      </c>
      <c r="E411" s="42" t="str">
        <f t="shared" si="190"/>
        <v/>
      </c>
      <c r="F411" s="7" t="str">
        <f t="shared" si="191"/>
        <v/>
      </c>
      <c r="G411" s="100" t="str">
        <f t="shared" si="192"/>
        <v/>
      </c>
      <c r="H411" s="100" t="str">
        <f t="shared" si="193"/>
        <v/>
      </c>
      <c r="I411" s="100" t="str">
        <f t="shared" si="194"/>
        <v/>
      </c>
      <c r="J411" s="100" t="str">
        <f t="shared" si="195"/>
        <v/>
      </c>
      <c r="K411" s="102" t="str">
        <f t="shared" si="196"/>
        <v/>
      </c>
      <c r="L411" s="103" t="str">
        <f t="shared" si="197"/>
        <v/>
      </c>
      <c r="M411" s="103" t="str">
        <f t="shared" si="198"/>
        <v/>
      </c>
      <c r="N411" s="103" t="str">
        <f t="shared" si="199"/>
        <v/>
      </c>
      <c r="O411" s="103" t="str">
        <f t="shared" si="200"/>
        <v/>
      </c>
      <c r="P411" s="105" t="str">
        <f t="shared" si="201"/>
        <v/>
      </c>
      <c r="Q411" s="105" t="str">
        <f t="shared" si="202"/>
        <v/>
      </c>
      <c r="R411" s="104" t="str">
        <f t="shared" si="203"/>
        <v/>
      </c>
      <c r="S411" s="104" t="str">
        <f t="shared" si="204"/>
        <v/>
      </c>
      <c r="T411" s="105" t="str">
        <f t="shared" si="205"/>
        <v/>
      </c>
      <c r="U411" s="14" t="str">
        <f t="shared" si="206"/>
        <v/>
      </c>
      <c r="V411" s="14" t="str">
        <f t="shared" si="207"/>
        <v/>
      </c>
      <c r="W411" s="103" t="str">
        <f t="shared" si="208"/>
        <v/>
      </c>
      <c r="X411" s="103" t="str">
        <f t="shared" si="209"/>
        <v/>
      </c>
      <c r="Y411" s="100" t="str">
        <f t="shared" si="210"/>
        <v/>
      </c>
      <c r="Z411" s="100" t="str">
        <f t="shared" si="211"/>
        <v/>
      </c>
      <c r="AA411" s="100" t="e">
        <f t="shared" si="212"/>
        <v>#VALUE!</v>
      </c>
      <c r="AB411" s="100" t="e">
        <f t="shared" si="213"/>
        <v>#VALUE!</v>
      </c>
      <c r="AC411" s="100" t="e">
        <f t="shared" si="214"/>
        <v>#VALUE!</v>
      </c>
      <c r="AD411" s="100" t="e">
        <f t="shared" si="215"/>
        <v>#VALUE!</v>
      </c>
      <c r="AE411" s="8" t="str">
        <f t="shared" si="188"/>
        <v/>
      </c>
      <c r="AF411" s="8" t="str">
        <f t="shared" si="189"/>
        <v/>
      </c>
      <c r="AG411" s="7" t="str">
        <f t="shared" si="216"/>
        <v>Good</v>
      </c>
      <c r="AI411" s="100">
        <f t="shared" si="217"/>
        <v>29.029618161999998</v>
      </c>
      <c r="AJ411" s="100">
        <f t="shared" si="218"/>
        <v>47.560795704</v>
      </c>
    </row>
    <row r="412" spans="1:36" x14ac:dyDescent="0.2">
      <c r="A412" s="8">
        <v>41.363999999999997</v>
      </c>
      <c r="B412" s="100">
        <v>29.029619169</v>
      </c>
      <c r="C412" s="100">
        <v>47.560786858999997</v>
      </c>
      <c r="D412" s="101">
        <v>41363.67908710015</v>
      </c>
      <c r="E412" s="42" t="str">
        <f t="shared" si="190"/>
        <v/>
      </c>
      <c r="F412" s="7" t="str">
        <f t="shared" si="191"/>
        <v/>
      </c>
      <c r="G412" s="100" t="str">
        <f t="shared" si="192"/>
        <v/>
      </c>
      <c r="H412" s="100" t="str">
        <f t="shared" si="193"/>
        <v/>
      </c>
      <c r="I412" s="100" t="str">
        <f t="shared" si="194"/>
        <v/>
      </c>
      <c r="J412" s="100" t="str">
        <f t="shared" si="195"/>
        <v/>
      </c>
      <c r="K412" s="102" t="str">
        <f t="shared" si="196"/>
        <v/>
      </c>
      <c r="L412" s="103" t="str">
        <f t="shared" si="197"/>
        <v/>
      </c>
      <c r="M412" s="103" t="str">
        <f t="shared" si="198"/>
        <v/>
      </c>
      <c r="N412" s="103" t="str">
        <f t="shared" si="199"/>
        <v/>
      </c>
      <c r="O412" s="103" t="str">
        <f t="shared" si="200"/>
        <v/>
      </c>
      <c r="P412" s="105" t="str">
        <f t="shared" si="201"/>
        <v/>
      </c>
      <c r="Q412" s="105" t="str">
        <f t="shared" si="202"/>
        <v/>
      </c>
      <c r="R412" s="104" t="str">
        <f t="shared" si="203"/>
        <v/>
      </c>
      <c r="S412" s="104" t="str">
        <f t="shared" si="204"/>
        <v/>
      </c>
      <c r="T412" s="105" t="str">
        <f t="shared" si="205"/>
        <v/>
      </c>
      <c r="U412" s="14" t="str">
        <f t="shared" si="206"/>
        <v/>
      </c>
      <c r="V412" s="14" t="str">
        <f t="shared" si="207"/>
        <v/>
      </c>
      <c r="W412" s="103" t="str">
        <f t="shared" si="208"/>
        <v/>
      </c>
      <c r="X412" s="103" t="str">
        <f t="shared" si="209"/>
        <v/>
      </c>
      <c r="Y412" s="100" t="str">
        <f t="shared" si="210"/>
        <v/>
      </c>
      <c r="Z412" s="100" t="str">
        <f t="shared" si="211"/>
        <v/>
      </c>
      <c r="AA412" s="100" t="e">
        <f t="shared" si="212"/>
        <v>#VALUE!</v>
      </c>
      <c r="AB412" s="100" t="e">
        <f t="shared" si="213"/>
        <v>#VALUE!</v>
      </c>
      <c r="AC412" s="100" t="e">
        <f t="shared" si="214"/>
        <v>#VALUE!</v>
      </c>
      <c r="AD412" s="100" t="e">
        <f t="shared" si="215"/>
        <v>#VALUE!</v>
      </c>
      <c r="AE412" s="8" t="str">
        <f t="shared" si="188"/>
        <v/>
      </c>
      <c r="AF412" s="8" t="str">
        <f t="shared" si="189"/>
        <v/>
      </c>
      <c r="AG412" s="7" t="str">
        <f t="shared" si="216"/>
        <v>Good</v>
      </c>
      <c r="AI412" s="100">
        <f t="shared" si="217"/>
        <v>29.029619169</v>
      </c>
      <c r="AJ412" s="100">
        <f t="shared" si="218"/>
        <v>47.560786858999997</v>
      </c>
    </row>
    <row r="413" spans="1:36" x14ac:dyDescent="0.2">
      <c r="A413" s="8">
        <v>41.365000000000002</v>
      </c>
      <c r="B413" s="100">
        <v>29.029615419999999</v>
      </c>
      <c r="C413" s="100">
        <v>47.560773582000003</v>
      </c>
      <c r="D413" s="101">
        <v>41365.034117438234</v>
      </c>
      <c r="E413" s="42" t="str">
        <f t="shared" si="190"/>
        <v/>
      </c>
      <c r="F413" s="7" t="str">
        <f t="shared" si="191"/>
        <v/>
      </c>
      <c r="G413" s="100" t="str">
        <f t="shared" si="192"/>
        <v/>
      </c>
      <c r="H413" s="100" t="str">
        <f t="shared" si="193"/>
        <v/>
      </c>
      <c r="I413" s="100" t="str">
        <f t="shared" si="194"/>
        <v/>
      </c>
      <c r="J413" s="100" t="str">
        <f t="shared" si="195"/>
        <v/>
      </c>
      <c r="K413" s="102" t="str">
        <f t="shared" si="196"/>
        <v/>
      </c>
      <c r="L413" s="103" t="str">
        <f t="shared" si="197"/>
        <v/>
      </c>
      <c r="M413" s="103" t="str">
        <f t="shared" si="198"/>
        <v/>
      </c>
      <c r="N413" s="103" t="str">
        <f t="shared" si="199"/>
        <v/>
      </c>
      <c r="O413" s="103" t="str">
        <f t="shared" si="200"/>
        <v/>
      </c>
      <c r="P413" s="105" t="str">
        <f t="shared" si="201"/>
        <v/>
      </c>
      <c r="Q413" s="105" t="str">
        <f t="shared" si="202"/>
        <v/>
      </c>
      <c r="R413" s="104" t="str">
        <f t="shared" si="203"/>
        <v/>
      </c>
      <c r="S413" s="104" t="str">
        <f t="shared" si="204"/>
        <v/>
      </c>
      <c r="T413" s="105" t="str">
        <f t="shared" si="205"/>
        <v/>
      </c>
      <c r="U413" s="14" t="str">
        <f t="shared" si="206"/>
        <v/>
      </c>
      <c r="V413" s="14" t="str">
        <f t="shared" si="207"/>
        <v/>
      </c>
      <c r="W413" s="103" t="str">
        <f t="shared" si="208"/>
        <v/>
      </c>
      <c r="X413" s="103" t="str">
        <f t="shared" si="209"/>
        <v/>
      </c>
      <c r="Y413" s="100" t="str">
        <f t="shared" si="210"/>
        <v/>
      </c>
      <c r="Z413" s="100" t="str">
        <f t="shared" si="211"/>
        <v/>
      </c>
      <c r="AA413" s="100" t="e">
        <f t="shared" si="212"/>
        <v>#VALUE!</v>
      </c>
      <c r="AB413" s="100" t="e">
        <f t="shared" si="213"/>
        <v>#VALUE!</v>
      </c>
      <c r="AC413" s="100" t="e">
        <f t="shared" si="214"/>
        <v>#VALUE!</v>
      </c>
      <c r="AD413" s="100" t="e">
        <f t="shared" si="215"/>
        <v>#VALUE!</v>
      </c>
      <c r="AE413" s="8" t="str">
        <f t="shared" si="188"/>
        <v/>
      </c>
      <c r="AF413" s="8" t="str">
        <f t="shared" si="189"/>
        <v/>
      </c>
      <c r="AG413" s="7" t="str">
        <f t="shared" si="216"/>
        <v>Good</v>
      </c>
      <c r="AI413" s="100">
        <f t="shared" si="217"/>
        <v>29.029615419999999</v>
      </c>
      <c r="AJ413" s="100">
        <f t="shared" si="218"/>
        <v>47.560773582000003</v>
      </c>
    </row>
    <row r="414" spans="1:36" x14ac:dyDescent="0.2">
      <c r="A414" s="8">
        <v>41.366999999999997</v>
      </c>
      <c r="B414" s="100">
        <v>29.029599137999998</v>
      </c>
      <c r="C414" s="100">
        <v>47.560752344000001</v>
      </c>
      <c r="D414" s="101">
        <v>41367</v>
      </c>
      <c r="E414" s="42" t="str">
        <f t="shared" si="190"/>
        <v/>
      </c>
      <c r="F414" s="7" t="str">
        <f t="shared" si="191"/>
        <v/>
      </c>
      <c r="G414" s="100" t="str">
        <f t="shared" si="192"/>
        <v/>
      </c>
      <c r="H414" s="100" t="str">
        <f t="shared" si="193"/>
        <v/>
      </c>
      <c r="I414" s="100" t="str">
        <f t="shared" si="194"/>
        <v/>
      </c>
      <c r="J414" s="100" t="str">
        <f t="shared" si="195"/>
        <v/>
      </c>
      <c r="K414" s="102" t="str">
        <f t="shared" si="196"/>
        <v/>
      </c>
      <c r="L414" s="103" t="str">
        <f t="shared" si="197"/>
        <v/>
      </c>
      <c r="M414" s="103" t="str">
        <f t="shared" si="198"/>
        <v/>
      </c>
      <c r="N414" s="103" t="str">
        <f t="shared" si="199"/>
        <v/>
      </c>
      <c r="O414" s="103" t="str">
        <f t="shared" si="200"/>
        <v/>
      </c>
      <c r="P414" s="105" t="str">
        <f t="shared" si="201"/>
        <v/>
      </c>
      <c r="Q414" s="105" t="str">
        <f t="shared" si="202"/>
        <v/>
      </c>
      <c r="R414" s="104" t="str">
        <f t="shared" si="203"/>
        <v/>
      </c>
      <c r="S414" s="104" t="str">
        <f t="shared" si="204"/>
        <v/>
      </c>
      <c r="T414" s="105" t="str">
        <f t="shared" si="205"/>
        <v/>
      </c>
      <c r="U414" s="14" t="str">
        <f t="shared" si="206"/>
        <v/>
      </c>
      <c r="V414" s="14" t="str">
        <f t="shared" si="207"/>
        <v/>
      </c>
      <c r="W414" s="103" t="str">
        <f t="shared" si="208"/>
        <v/>
      </c>
      <c r="X414" s="103" t="str">
        <f t="shared" si="209"/>
        <v/>
      </c>
      <c r="Y414" s="100" t="str">
        <f t="shared" si="210"/>
        <v/>
      </c>
      <c r="Z414" s="100" t="str">
        <f t="shared" si="211"/>
        <v/>
      </c>
      <c r="AA414" s="100" t="e">
        <f t="shared" si="212"/>
        <v>#VALUE!</v>
      </c>
      <c r="AB414" s="100" t="e">
        <f t="shared" si="213"/>
        <v>#VALUE!</v>
      </c>
      <c r="AC414" s="100" t="e">
        <f t="shared" si="214"/>
        <v>#VALUE!</v>
      </c>
      <c r="AD414" s="100" t="e">
        <f t="shared" si="215"/>
        <v>#VALUE!</v>
      </c>
      <c r="AE414" s="8" t="str">
        <f t="shared" si="188"/>
        <v/>
      </c>
      <c r="AF414" s="8" t="str">
        <f t="shared" si="189"/>
        <v/>
      </c>
      <c r="AG414" s="7" t="str">
        <f t="shared" si="216"/>
        <v>Good</v>
      </c>
      <c r="AI414" s="100">
        <f t="shared" si="217"/>
        <v>29.029599137999998</v>
      </c>
      <c r="AJ414" s="100">
        <f t="shared" si="218"/>
        <v>47.560752344000001</v>
      </c>
    </row>
    <row r="415" spans="1:36" x14ac:dyDescent="0.2">
      <c r="A415" s="8">
        <v>41.368000000000002</v>
      </c>
      <c r="B415" s="100">
        <v>29.029603428000001</v>
      </c>
      <c r="C415" s="100">
        <v>47.560752018000002</v>
      </c>
      <c r="D415" s="101">
        <v>41368.251544095765</v>
      </c>
      <c r="E415" s="42" t="str">
        <f t="shared" si="190"/>
        <v/>
      </c>
      <c r="F415" s="7" t="str">
        <f t="shared" si="191"/>
        <v/>
      </c>
      <c r="G415" s="100" t="str">
        <f t="shared" si="192"/>
        <v/>
      </c>
      <c r="H415" s="100" t="str">
        <f t="shared" si="193"/>
        <v/>
      </c>
      <c r="I415" s="100" t="str">
        <f t="shared" si="194"/>
        <v/>
      </c>
      <c r="J415" s="100" t="str">
        <f t="shared" si="195"/>
        <v/>
      </c>
      <c r="K415" s="102" t="str">
        <f t="shared" si="196"/>
        <v/>
      </c>
      <c r="L415" s="103" t="str">
        <f t="shared" si="197"/>
        <v/>
      </c>
      <c r="M415" s="103" t="str">
        <f t="shared" si="198"/>
        <v/>
      </c>
      <c r="N415" s="103" t="str">
        <f t="shared" si="199"/>
        <v/>
      </c>
      <c r="O415" s="103" t="str">
        <f t="shared" si="200"/>
        <v/>
      </c>
      <c r="P415" s="105" t="str">
        <f t="shared" si="201"/>
        <v/>
      </c>
      <c r="Q415" s="105" t="str">
        <f t="shared" si="202"/>
        <v/>
      </c>
      <c r="R415" s="104" t="str">
        <f t="shared" si="203"/>
        <v/>
      </c>
      <c r="S415" s="104" t="str">
        <f t="shared" si="204"/>
        <v/>
      </c>
      <c r="T415" s="105" t="str">
        <f t="shared" si="205"/>
        <v/>
      </c>
      <c r="U415" s="14" t="str">
        <f t="shared" si="206"/>
        <v/>
      </c>
      <c r="V415" s="14" t="str">
        <f t="shared" si="207"/>
        <v/>
      </c>
      <c r="W415" s="103" t="str">
        <f t="shared" si="208"/>
        <v/>
      </c>
      <c r="X415" s="103" t="str">
        <f t="shared" si="209"/>
        <v/>
      </c>
      <c r="Y415" s="100" t="str">
        <f t="shared" si="210"/>
        <v/>
      </c>
      <c r="Z415" s="100" t="str">
        <f t="shared" si="211"/>
        <v/>
      </c>
      <c r="AA415" s="100" t="e">
        <f t="shared" si="212"/>
        <v>#VALUE!</v>
      </c>
      <c r="AB415" s="100" t="e">
        <f t="shared" si="213"/>
        <v>#VALUE!</v>
      </c>
      <c r="AC415" s="100" t="e">
        <f t="shared" si="214"/>
        <v>#VALUE!</v>
      </c>
      <c r="AD415" s="100" t="e">
        <f t="shared" si="215"/>
        <v>#VALUE!</v>
      </c>
      <c r="AE415" s="8" t="str">
        <f t="shared" si="188"/>
        <v/>
      </c>
      <c r="AF415" s="8" t="str">
        <f t="shared" si="189"/>
        <v/>
      </c>
      <c r="AG415" s="7" t="str">
        <f t="shared" si="216"/>
        <v>Good</v>
      </c>
      <c r="AI415" s="100">
        <f t="shared" si="217"/>
        <v>29.029603428000001</v>
      </c>
      <c r="AJ415" s="100">
        <f t="shared" si="218"/>
        <v>47.560752018000002</v>
      </c>
    </row>
    <row r="416" spans="1:36" x14ac:dyDescent="0.2">
      <c r="A416" s="8">
        <v>41.369</v>
      </c>
      <c r="B416" s="100">
        <v>29.029594556999999</v>
      </c>
      <c r="C416" s="100">
        <v>47.560747892000002</v>
      </c>
      <c r="D416" s="101">
        <v>41369.316469549893</v>
      </c>
      <c r="E416" s="42" t="str">
        <f t="shared" si="190"/>
        <v/>
      </c>
      <c r="F416" s="7" t="str">
        <f t="shared" si="191"/>
        <v/>
      </c>
      <c r="G416" s="100" t="str">
        <f t="shared" si="192"/>
        <v/>
      </c>
      <c r="H416" s="100" t="str">
        <f t="shared" si="193"/>
        <v/>
      </c>
      <c r="I416" s="100" t="str">
        <f t="shared" si="194"/>
        <v/>
      </c>
      <c r="J416" s="100" t="str">
        <f t="shared" si="195"/>
        <v/>
      </c>
      <c r="K416" s="102" t="str">
        <f t="shared" si="196"/>
        <v/>
      </c>
      <c r="L416" s="103" t="str">
        <f t="shared" si="197"/>
        <v/>
      </c>
      <c r="M416" s="103" t="str">
        <f t="shared" si="198"/>
        <v/>
      </c>
      <c r="N416" s="103" t="str">
        <f t="shared" si="199"/>
        <v/>
      </c>
      <c r="O416" s="103" t="str">
        <f t="shared" si="200"/>
        <v/>
      </c>
      <c r="P416" s="105" t="str">
        <f t="shared" si="201"/>
        <v/>
      </c>
      <c r="Q416" s="105" t="str">
        <f t="shared" si="202"/>
        <v/>
      </c>
      <c r="R416" s="104" t="str">
        <f t="shared" si="203"/>
        <v/>
      </c>
      <c r="S416" s="104" t="str">
        <f t="shared" si="204"/>
        <v/>
      </c>
      <c r="T416" s="105" t="str">
        <f t="shared" si="205"/>
        <v/>
      </c>
      <c r="U416" s="14" t="str">
        <f t="shared" si="206"/>
        <v/>
      </c>
      <c r="V416" s="14" t="str">
        <f t="shared" si="207"/>
        <v/>
      </c>
      <c r="W416" s="103" t="str">
        <f t="shared" si="208"/>
        <v/>
      </c>
      <c r="X416" s="103" t="str">
        <f t="shared" si="209"/>
        <v/>
      </c>
      <c r="Y416" s="100" t="str">
        <f t="shared" si="210"/>
        <v/>
      </c>
      <c r="Z416" s="100" t="str">
        <f t="shared" si="211"/>
        <v/>
      </c>
      <c r="AA416" s="100" t="e">
        <f t="shared" si="212"/>
        <v>#VALUE!</v>
      </c>
      <c r="AB416" s="100" t="e">
        <f t="shared" si="213"/>
        <v>#VALUE!</v>
      </c>
      <c r="AC416" s="100" t="e">
        <f t="shared" si="214"/>
        <v>#VALUE!</v>
      </c>
      <c r="AD416" s="100" t="e">
        <f t="shared" si="215"/>
        <v>#VALUE!</v>
      </c>
      <c r="AE416" s="8" t="str">
        <f t="shared" si="188"/>
        <v/>
      </c>
      <c r="AF416" s="8" t="str">
        <f t="shared" si="189"/>
        <v/>
      </c>
      <c r="AG416" s="7" t="str">
        <f t="shared" si="216"/>
        <v>Good</v>
      </c>
      <c r="AI416" s="100">
        <f t="shared" si="217"/>
        <v>29.029594556999999</v>
      </c>
      <c r="AJ416" s="100">
        <f t="shared" si="218"/>
        <v>47.560747892000002</v>
      </c>
    </row>
    <row r="417" spans="1:36" x14ac:dyDescent="0.2">
      <c r="A417" s="8">
        <v>41.37</v>
      </c>
      <c r="B417" s="100">
        <v>29.029596679000001</v>
      </c>
      <c r="C417" s="100">
        <v>47.560740586000001</v>
      </c>
      <c r="D417" s="101">
        <v>41370.069485559034</v>
      </c>
      <c r="E417" s="42" t="str">
        <f t="shared" si="190"/>
        <v/>
      </c>
      <c r="F417" s="7" t="str">
        <f t="shared" si="191"/>
        <v/>
      </c>
      <c r="G417" s="100" t="str">
        <f t="shared" si="192"/>
        <v/>
      </c>
      <c r="H417" s="100" t="str">
        <f t="shared" si="193"/>
        <v/>
      </c>
      <c r="I417" s="100" t="str">
        <f t="shared" si="194"/>
        <v/>
      </c>
      <c r="J417" s="100" t="str">
        <f t="shared" si="195"/>
        <v/>
      </c>
      <c r="K417" s="102" t="str">
        <f t="shared" si="196"/>
        <v/>
      </c>
      <c r="L417" s="103" t="str">
        <f t="shared" si="197"/>
        <v/>
      </c>
      <c r="M417" s="103" t="str">
        <f t="shared" si="198"/>
        <v/>
      </c>
      <c r="N417" s="103" t="str">
        <f t="shared" si="199"/>
        <v/>
      </c>
      <c r="O417" s="103" t="str">
        <f t="shared" si="200"/>
        <v/>
      </c>
      <c r="P417" s="105" t="str">
        <f t="shared" si="201"/>
        <v/>
      </c>
      <c r="Q417" s="105" t="str">
        <f t="shared" si="202"/>
        <v/>
      </c>
      <c r="R417" s="104" t="str">
        <f t="shared" si="203"/>
        <v/>
      </c>
      <c r="S417" s="104" t="str">
        <f t="shared" si="204"/>
        <v/>
      </c>
      <c r="T417" s="105" t="str">
        <f t="shared" si="205"/>
        <v/>
      </c>
      <c r="U417" s="14" t="str">
        <f t="shared" si="206"/>
        <v/>
      </c>
      <c r="V417" s="14" t="str">
        <f t="shared" si="207"/>
        <v/>
      </c>
      <c r="W417" s="103" t="str">
        <f t="shared" si="208"/>
        <v/>
      </c>
      <c r="X417" s="103" t="str">
        <f t="shared" si="209"/>
        <v/>
      </c>
      <c r="Y417" s="100" t="str">
        <f t="shared" si="210"/>
        <v/>
      </c>
      <c r="Z417" s="100" t="str">
        <f t="shared" si="211"/>
        <v/>
      </c>
      <c r="AA417" s="100" t="e">
        <f t="shared" si="212"/>
        <v>#VALUE!</v>
      </c>
      <c r="AB417" s="100" t="e">
        <f t="shared" si="213"/>
        <v>#VALUE!</v>
      </c>
      <c r="AC417" s="100" t="e">
        <f t="shared" si="214"/>
        <v>#VALUE!</v>
      </c>
      <c r="AD417" s="100" t="e">
        <f t="shared" si="215"/>
        <v>#VALUE!</v>
      </c>
      <c r="AE417" s="8" t="str">
        <f t="shared" si="188"/>
        <v/>
      </c>
      <c r="AF417" s="8" t="str">
        <f t="shared" si="189"/>
        <v/>
      </c>
      <c r="AG417" s="7" t="str">
        <f t="shared" si="216"/>
        <v>Good</v>
      </c>
      <c r="AI417" s="100">
        <f t="shared" si="217"/>
        <v>29.029596679000001</v>
      </c>
      <c r="AJ417" s="100">
        <f t="shared" si="218"/>
        <v>47.560740586000001</v>
      </c>
    </row>
    <row r="418" spans="1:36" x14ac:dyDescent="0.2">
      <c r="A418" s="8">
        <v>41.375999999999998</v>
      </c>
      <c r="B418" s="100">
        <v>29.029574809</v>
      </c>
      <c r="C418" s="100">
        <v>47.560682483000001</v>
      </c>
      <c r="D418" s="101">
        <v>41376</v>
      </c>
      <c r="E418" s="42" t="str">
        <f t="shared" si="190"/>
        <v/>
      </c>
      <c r="F418" s="7" t="str">
        <f t="shared" si="191"/>
        <v/>
      </c>
      <c r="G418" s="100" t="str">
        <f t="shared" si="192"/>
        <v/>
      </c>
      <c r="H418" s="100" t="str">
        <f t="shared" si="193"/>
        <v/>
      </c>
      <c r="I418" s="100" t="str">
        <f t="shared" si="194"/>
        <v/>
      </c>
      <c r="J418" s="100" t="str">
        <f t="shared" si="195"/>
        <v/>
      </c>
      <c r="K418" s="102" t="str">
        <f t="shared" si="196"/>
        <v/>
      </c>
      <c r="L418" s="103" t="str">
        <f t="shared" si="197"/>
        <v/>
      </c>
      <c r="M418" s="103" t="str">
        <f t="shared" si="198"/>
        <v/>
      </c>
      <c r="N418" s="103" t="str">
        <f t="shared" si="199"/>
        <v/>
      </c>
      <c r="O418" s="103" t="str">
        <f t="shared" si="200"/>
        <v/>
      </c>
      <c r="P418" s="105" t="str">
        <f t="shared" si="201"/>
        <v/>
      </c>
      <c r="Q418" s="105" t="str">
        <f t="shared" si="202"/>
        <v/>
      </c>
      <c r="R418" s="104" t="str">
        <f t="shared" si="203"/>
        <v/>
      </c>
      <c r="S418" s="104" t="str">
        <f t="shared" si="204"/>
        <v/>
      </c>
      <c r="T418" s="105" t="str">
        <f t="shared" si="205"/>
        <v/>
      </c>
      <c r="U418" s="14" t="str">
        <f t="shared" si="206"/>
        <v/>
      </c>
      <c r="V418" s="14" t="str">
        <f t="shared" si="207"/>
        <v/>
      </c>
      <c r="W418" s="103" t="str">
        <f t="shared" si="208"/>
        <v/>
      </c>
      <c r="X418" s="103" t="str">
        <f t="shared" si="209"/>
        <v/>
      </c>
      <c r="Y418" s="100" t="str">
        <f t="shared" si="210"/>
        <v/>
      </c>
      <c r="Z418" s="100" t="str">
        <f t="shared" si="211"/>
        <v/>
      </c>
      <c r="AA418" s="100" t="e">
        <f t="shared" si="212"/>
        <v>#VALUE!</v>
      </c>
      <c r="AB418" s="100" t="e">
        <f t="shared" si="213"/>
        <v>#VALUE!</v>
      </c>
      <c r="AC418" s="100" t="e">
        <f t="shared" si="214"/>
        <v>#VALUE!</v>
      </c>
      <c r="AD418" s="100" t="e">
        <f t="shared" si="215"/>
        <v>#VALUE!</v>
      </c>
      <c r="AE418" s="8" t="str">
        <f t="shared" si="188"/>
        <v/>
      </c>
      <c r="AF418" s="8" t="str">
        <f t="shared" si="189"/>
        <v/>
      </c>
      <c r="AG418" s="7" t="str">
        <f t="shared" si="216"/>
        <v>Good</v>
      </c>
      <c r="AI418" s="100">
        <f t="shared" si="217"/>
        <v>29.029574809</v>
      </c>
      <c r="AJ418" s="100">
        <f t="shared" si="218"/>
        <v>47.560682483000001</v>
      </c>
    </row>
    <row r="419" spans="1:36" x14ac:dyDescent="0.2">
      <c r="A419" s="8">
        <v>41.387</v>
      </c>
      <c r="B419" s="100">
        <v>29.029527940000001</v>
      </c>
      <c r="C419" s="100">
        <v>47.560579509999997</v>
      </c>
      <c r="D419" s="101">
        <v>41387.494598075711</v>
      </c>
      <c r="E419" s="42" t="str">
        <f t="shared" si="190"/>
        <v/>
      </c>
      <c r="F419" s="7" t="str">
        <f t="shared" si="191"/>
        <v/>
      </c>
      <c r="G419" s="100" t="str">
        <f t="shared" si="192"/>
        <v/>
      </c>
      <c r="H419" s="100" t="str">
        <f t="shared" si="193"/>
        <v/>
      </c>
      <c r="I419" s="100" t="str">
        <f t="shared" si="194"/>
        <v/>
      </c>
      <c r="J419" s="100" t="str">
        <f t="shared" si="195"/>
        <v/>
      </c>
      <c r="K419" s="102" t="str">
        <f t="shared" si="196"/>
        <v/>
      </c>
      <c r="L419" s="103" t="str">
        <f t="shared" si="197"/>
        <v/>
      </c>
      <c r="M419" s="103" t="str">
        <f t="shared" si="198"/>
        <v/>
      </c>
      <c r="N419" s="103" t="str">
        <f t="shared" si="199"/>
        <v/>
      </c>
      <c r="O419" s="103" t="str">
        <f t="shared" si="200"/>
        <v/>
      </c>
      <c r="P419" s="105" t="str">
        <f t="shared" si="201"/>
        <v/>
      </c>
      <c r="Q419" s="105" t="str">
        <f t="shared" si="202"/>
        <v/>
      </c>
      <c r="R419" s="104" t="str">
        <f t="shared" si="203"/>
        <v/>
      </c>
      <c r="S419" s="104" t="str">
        <f t="shared" si="204"/>
        <v/>
      </c>
      <c r="T419" s="105" t="str">
        <f t="shared" si="205"/>
        <v/>
      </c>
      <c r="U419" s="14" t="str">
        <f t="shared" si="206"/>
        <v/>
      </c>
      <c r="V419" s="14" t="str">
        <f t="shared" si="207"/>
        <v/>
      </c>
      <c r="W419" s="103" t="str">
        <f t="shared" si="208"/>
        <v/>
      </c>
      <c r="X419" s="103" t="str">
        <f t="shared" si="209"/>
        <v/>
      </c>
      <c r="Y419" s="100" t="str">
        <f t="shared" si="210"/>
        <v/>
      </c>
      <c r="Z419" s="100" t="str">
        <f t="shared" si="211"/>
        <v/>
      </c>
      <c r="AA419" s="100" t="e">
        <f t="shared" si="212"/>
        <v>#VALUE!</v>
      </c>
      <c r="AB419" s="100" t="e">
        <f t="shared" si="213"/>
        <v>#VALUE!</v>
      </c>
      <c r="AC419" s="100" t="e">
        <f t="shared" si="214"/>
        <v>#VALUE!</v>
      </c>
      <c r="AD419" s="100" t="e">
        <f t="shared" si="215"/>
        <v>#VALUE!</v>
      </c>
      <c r="AE419" s="8" t="str">
        <f t="shared" si="188"/>
        <v/>
      </c>
      <c r="AF419" s="8" t="str">
        <f t="shared" si="189"/>
        <v/>
      </c>
      <c r="AG419" s="7" t="str">
        <f t="shared" si="216"/>
        <v>Good</v>
      </c>
      <c r="AI419" s="100">
        <f t="shared" si="217"/>
        <v>29.029527940000001</v>
      </c>
      <c r="AJ419" s="100">
        <f t="shared" si="218"/>
        <v>47.560579509999997</v>
      </c>
    </row>
    <row r="420" spans="1:36" x14ac:dyDescent="0.2">
      <c r="A420" s="8">
        <v>41.387999999999998</v>
      </c>
      <c r="B420" s="100">
        <v>29.029527451</v>
      </c>
      <c r="C420" s="100">
        <v>47.560577262000002</v>
      </c>
      <c r="D420" s="101">
        <v>41387.706736304295</v>
      </c>
      <c r="E420" s="42" t="str">
        <f t="shared" si="190"/>
        <v/>
      </c>
      <c r="F420" s="7" t="str">
        <f t="shared" si="191"/>
        <v/>
      </c>
      <c r="G420" s="100" t="str">
        <f t="shared" si="192"/>
        <v/>
      </c>
      <c r="H420" s="100" t="str">
        <f t="shared" si="193"/>
        <v/>
      </c>
      <c r="I420" s="100" t="str">
        <f t="shared" si="194"/>
        <v/>
      </c>
      <c r="J420" s="100" t="str">
        <f t="shared" si="195"/>
        <v/>
      </c>
      <c r="K420" s="102" t="str">
        <f t="shared" si="196"/>
        <v/>
      </c>
      <c r="L420" s="103" t="str">
        <f t="shared" si="197"/>
        <v/>
      </c>
      <c r="M420" s="103" t="str">
        <f t="shared" si="198"/>
        <v/>
      </c>
      <c r="N420" s="103" t="str">
        <f t="shared" si="199"/>
        <v/>
      </c>
      <c r="O420" s="103" t="str">
        <f t="shared" si="200"/>
        <v/>
      </c>
      <c r="P420" s="105" t="str">
        <f t="shared" si="201"/>
        <v/>
      </c>
      <c r="Q420" s="105" t="str">
        <f t="shared" si="202"/>
        <v/>
      </c>
      <c r="R420" s="104" t="str">
        <f t="shared" si="203"/>
        <v/>
      </c>
      <c r="S420" s="104" t="str">
        <f t="shared" si="204"/>
        <v/>
      </c>
      <c r="T420" s="105" t="str">
        <f t="shared" si="205"/>
        <v/>
      </c>
      <c r="U420" s="14" t="str">
        <f t="shared" si="206"/>
        <v/>
      </c>
      <c r="V420" s="14" t="str">
        <f t="shared" si="207"/>
        <v/>
      </c>
      <c r="W420" s="103" t="str">
        <f t="shared" si="208"/>
        <v/>
      </c>
      <c r="X420" s="103" t="str">
        <f t="shared" si="209"/>
        <v/>
      </c>
      <c r="Y420" s="100" t="str">
        <f t="shared" si="210"/>
        <v/>
      </c>
      <c r="Z420" s="100" t="str">
        <f t="shared" si="211"/>
        <v/>
      </c>
      <c r="AA420" s="100" t="e">
        <f t="shared" si="212"/>
        <v>#VALUE!</v>
      </c>
      <c r="AB420" s="100" t="e">
        <f t="shared" si="213"/>
        <v>#VALUE!</v>
      </c>
      <c r="AC420" s="100" t="e">
        <f t="shared" si="214"/>
        <v>#VALUE!</v>
      </c>
      <c r="AD420" s="100" t="e">
        <f t="shared" si="215"/>
        <v>#VALUE!</v>
      </c>
      <c r="AE420" s="8" t="str">
        <f t="shared" si="188"/>
        <v/>
      </c>
      <c r="AF420" s="8" t="str">
        <f t="shared" si="189"/>
        <v/>
      </c>
      <c r="AG420" s="7" t="str">
        <f t="shared" si="216"/>
        <v>Good</v>
      </c>
      <c r="AI420" s="100">
        <f t="shared" si="217"/>
        <v>29.029527451</v>
      </c>
      <c r="AJ420" s="100">
        <f t="shared" si="218"/>
        <v>47.560577262000002</v>
      </c>
    </row>
    <row r="421" spans="1:36" x14ac:dyDescent="0.2">
      <c r="A421" s="8">
        <v>41.389000000000003</v>
      </c>
      <c r="B421" s="100">
        <v>29.029524176999999</v>
      </c>
      <c r="C421" s="100">
        <v>47.560568683</v>
      </c>
      <c r="D421" s="101">
        <v>41388.611748915828</v>
      </c>
      <c r="E421" s="42" t="str">
        <f t="shared" si="190"/>
        <v/>
      </c>
      <c r="F421" s="7" t="str">
        <f t="shared" si="191"/>
        <v/>
      </c>
      <c r="G421" s="100" t="str">
        <f t="shared" si="192"/>
        <v/>
      </c>
      <c r="H421" s="100" t="str">
        <f t="shared" si="193"/>
        <v/>
      </c>
      <c r="I421" s="100" t="str">
        <f t="shared" si="194"/>
        <v/>
      </c>
      <c r="J421" s="100" t="str">
        <f t="shared" si="195"/>
        <v/>
      </c>
      <c r="K421" s="102" t="str">
        <f t="shared" si="196"/>
        <v/>
      </c>
      <c r="L421" s="103" t="str">
        <f t="shared" si="197"/>
        <v/>
      </c>
      <c r="M421" s="103" t="str">
        <f t="shared" si="198"/>
        <v/>
      </c>
      <c r="N421" s="103" t="str">
        <f t="shared" si="199"/>
        <v/>
      </c>
      <c r="O421" s="103" t="str">
        <f t="shared" si="200"/>
        <v/>
      </c>
      <c r="P421" s="105" t="str">
        <f t="shared" si="201"/>
        <v/>
      </c>
      <c r="Q421" s="105" t="str">
        <f t="shared" si="202"/>
        <v/>
      </c>
      <c r="R421" s="104" t="str">
        <f t="shared" si="203"/>
        <v/>
      </c>
      <c r="S421" s="104" t="str">
        <f t="shared" si="204"/>
        <v/>
      </c>
      <c r="T421" s="105" t="str">
        <f t="shared" si="205"/>
        <v/>
      </c>
      <c r="U421" s="14" t="str">
        <f t="shared" si="206"/>
        <v/>
      </c>
      <c r="V421" s="14" t="str">
        <f t="shared" si="207"/>
        <v/>
      </c>
      <c r="W421" s="103" t="str">
        <f t="shared" si="208"/>
        <v/>
      </c>
      <c r="X421" s="103" t="str">
        <f t="shared" si="209"/>
        <v/>
      </c>
      <c r="Y421" s="100" t="str">
        <f t="shared" si="210"/>
        <v/>
      </c>
      <c r="Z421" s="100" t="str">
        <f t="shared" si="211"/>
        <v/>
      </c>
      <c r="AA421" s="100" t="e">
        <f t="shared" si="212"/>
        <v>#VALUE!</v>
      </c>
      <c r="AB421" s="100" t="e">
        <f t="shared" si="213"/>
        <v>#VALUE!</v>
      </c>
      <c r="AC421" s="100" t="e">
        <f t="shared" si="214"/>
        <v>#VALUE!</v>
      </c>
      <c r="AD421" s="100" t="e">
        <f t="shared" si="215"/>
        <v>#VALUE!</v>
      </c>
      <c r="AE421" s="8" t="str">
        <f t="shared" si="188"/>
        <v/>
      </c>
      <c r="AF421" s="8" t="str">
        <f t="shared" si="189"/>
        <v/>
      </c>
      <c r="AG421" s="7" t="str">
        <f t="shared" si="216"/>
        <v>Good</v>
      </c>
      <c r="AI421" s="100">
        <f t="shared" si="217"/>
        <v>29.029524176999999</v>
      </c>
      <c r="AJ421" s="100">
        <f t="shared" si="218"/>
        <v>47.560568683</v>
      </c>
    </row>
    <row r="422" spans="1:36" x14ac:dyDescent="0.2">
      <c r="A422" s="8">
        <v>41.39</v>
      </c>
      <c r="B422" s="100">
        <v>29.029519314000002</v>
      </c>
      <c r="C422" s="100">
        <v>47.560565461000003</v>
      </c>
      <c r="D422" s="101">
        <v>41390</v>
      </c>
      <c r="E422" s="42" t="str">
        <f t="shared" si="190"/>
        <v/>
      </c>
      <c r="F422" s="7" t="str">
        <f t="shared" si="191"/>
        <v/>
      </c>
      <c r="G422" s="100" t="str">
        <f t="shared" si="192"/>
        <v/>
      </c>
      <c r="H422" s="100" t="str">
        <f t="shared" si="193"/>
        <v/>
      </c>
      <c r="I422" s="100" t="str">
        <f t="shared" si="194"/>
        <v/>
      </c>
      <c r="J422" s="100" t="str">
        <f t="shared" si="195"/>
        <v/>
      </c>
      <c r="K422" s="102" t="str">
        <f t="shared" si="196"/>
        <v/>
      </c>
      <c r="L422" s="103" t="str">
        <f t="shared" si="197"/>
        <v/>
      </c>
      <c r="M422" s="103" t="str">
        <f t="shared" si="198"/>
        <v/>
      </c>
      <c r="N422" s="103" t="str">
        <f t="shared" si="199"/>
        <v/>
      </c>
      <c r="O422" s="103" t="str">
        <f t="shared" si="200"/>
        <v/>
      </c>
      <c r="P422" s="105" t="str">
        <f t="shared" si="201"/>
        <v/>
      </c>
      <c r="Q422" s="105" t="str">
        <f t="shared" si="202"/>
        <v/>
      </c>
      <c r="R422" s="104" t="str">
        <f t="shared" si="203"/>
        <v/>
      </c>
      <c r="S422" s="104" t="str">
        <f t="shared" si="204"/>
        <v/>
      </c>
      <c r="T422" s="105" t="str">
        <f t="shared" si="205"/>
        <v/>
      </c>
      <c r="U422" s="14" t="str">
        <f t="shared" si="206"/>
        <v/>
      </c>
      <c r="V422" s="14" t="str">
        <f t="shared" si="207"/>
        <v/>
      </c>
      <c r="W422" s="103" t="str">
        <f t="shared" si="208"/>
        <v/>
      </c>
      <c r="X422" s="103" t="str">
        <f t="shared" si="209"/>
        <v/>
      </c>
      <c r="Y422" s="100" t="str">
        <f t="shared" si="210"/>
        <v/>
      </c>
      <c r="Z422" s="100" t="str">
        <f t="shared" si="211"/>
        <v/>
      </c>
      <c r="AA422" s="100" t="e">
        <f t="shared" si="212"/>
        <v>#VALUE!</v>
      </c>
      <c r="AB422" s="100" t="e">
        <f t="shared" si="213"/>
        <v>#VALUE!</v>
      </c>
      <c r="AC422" s="100" t="e">
        <f t="shared" si="214"/>
        <v>#VALUE!</v>
      </c>
      <c r="AD422" s="100" t="e">
        <f t="shared" si="215"/>
        <v>#VALUE!</v>
      </c>
      <c r="AE422" s="8" t="str">
        <f t="shared" si="188"/>
        <v/>
      </c>
      <c r="AF422" s="8" t="str">
        <f t="shared" si="189"/>
        <v/>
      </c>
      <c r="AG422" s="7" t="str">
        <f t="shared" si="216"/>
        <v>Good</v>
      </c>
      <c r="AI422" s="100">
        <f t="shared" si="217"/>
        <v>29.029519314000002</v>
      </c>
      <c r="AJ422" s="100">
        <f t="shared" si="218"/>
        <v>47.560565461000003</v>
      </c>
    </row>
  </sheetData>
  <phoneticPr fontId="10" type="noConversion"/>
  <conditionalFormatting sqref="AG3:AG422">
    <cfRule type="cellIs" dxfId="0" priority="1" stopIfTrue="1" operator="notEqual">
      <formula>"Good"</formula>
    </cfRule>
  </conditionalFormatting>
  <pageMargins left="0.75" right="0.75" top="1" bottom="1" header="0.5" footer="0.5"/>
  <pageSetup orientation="portrait" horizontalDpi="1200" verticalDpi="12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L376"/>
  <sheetViews>
    <sheetView workbookViewId="0">
      <pane ySplit="16" topLeftCell="A46" activePane="bottomLeft" state="frozen"/>
      <selection pane="bottomLeft" activeCell="C7" sqref="C7"/>
    </sheetView>
  </sheetViews>
  <sheetFormatPr defaultRowHeight="12.75" x14ac:dyDescent="0.2"/>
  <cols>
    <col min="1" max="1" width="10" customWidth="1"/>
    <col min="2" max="2" width="17.140625" bestFit="1" customWidth="1"/>
    <col min="3" max="3" width="14.140625" bestFit="1" customWidth="1"/>
    <col min="4" max="4" width="9.5703125" customWidth="1"/>
    <col min="7" max="7" width="9.5703125" bestFit="1" customWidth="1"/>
    <col min="9" max="9" width="11.85546875" bestFit="1" customWidth="1"/>
  </cols>
  <sheetData>
    <row r="1" spans="1:12" ht="15" x14ac:dyDescent="0.2">
      <c r="A1" s="10" t="s">
        <v>204</v>
      </c>
      <c r="F1" s="45" t="s">
        <v>205</v>
      </c>
      <c r="G1" s="46">
        <v>36074</v>
      </c>
    </row>
    <row r="2" spans="1:12" x14ac:dyDescent="0.2">
      <c r="A2" s="1" t="s">
        <v>206</v>
      </c>
      <c r="B2" s="3" t="s">
        <v>207</v>
      </c>
      <c r="C2" s="4">
        <v>6378137</v>
      </c>
      <c r="D2" s="3" t="s">
        <v>208</v>
      </c>
      <c r="F2" s="45" t="s">
        <v>209</v>
      </c>
      <c r="G2" s="46">
        <v>38604</v>
      </c>
      <c r="H2" t="s">
        <v>210</v>
      </c>
    </row>
    <row r="3" spans="1:12" x14ac:dyDescent="0.2">
      <c r="A3" s="1" t="s">
        <v>211</v>
      </c>
      <c r="B3" s="3" t="s">
        <v>212</v>
      </c>
      <c r="C3" s="136">
        <v>6356752.3141999999</v>
      </c>
      <c r="D3" s="3" t="s">
        <v>208</v>
      </c>
    </row>
    <row r="4" spans="1:12" x14ac:dyDescent="0.2">
      <c r="A4" s="2" t="s">
        <v>213</v>
      </c>
      <c r="B4" s="3" t="s">
        <v>214</v>
      </c>
      <c r="C4" s="137">
        <f>1/(a/(a-b))</f>
        <v>3.3528106718309901E-3</v>
      </c>
      <c r="D4" s="3" t="s">
        <v>215</v>
      </c>
    </row>
    <row r="5" spans="1:12" x14ac:dyDescent="0.2">
      <c r="A5" s="1" t="s">
        <v>216</v>
      </c>
      <c r="B5" s="3" t="s">
        <v>217</v>
      </c>
      <c r="C5" s="5">
        <f>1/f</f>
        <v>298.25722293286964</v>
      </c>
      <c r="D5" s="3" t="s">
        <v>216</v>
      </c>
    </row>
    <row r="6" spans="1:12" x14ac:dyDescent="0.2">
      <c r="A6" s="1" t="s">
        <v>218</v>
      </c>
      <c r="B6" s="3" t="s">
        <v>219</v>
      </c>
      <c r="C6" s="5">
        <f>0.0066943800229</f>
        <v>6.6943800229000002E-3</v>
      </c>
      <c r="D6" s="3" t="s">
        <v>220</v>
      </c>
    </row>
    <row r="7" spans="1:12" x14ac:dyDescent="0.2">
      <c r="A7" s="1" t="s">
        <v>221</v>
      </c>
      <c r="B7" s="3" t="s">
        <v>222</v>
      </c>
      <c r="C7" s="5">
        <f>e/(1-e)</f>
        <v>6.7394967754781602E-3</v>
      </c>
      <c r="D7" s="3" t="s">
        <v>223</v>
      </c>
    </row>
    <row r="8" spans="1:12" x14ac:dyDescent="0.2">
      <c r="A8" s="1"/>
      <c r="B8" s="3" t="s">
        <v>224</v>
      </c>
      <c r="C8" s="5">
        <v>0</v>
      </c>
      <c r="D8" s="3"/>
    </row>
    <row r="9" spans="1:12" x14ac:dyDescent="0.2">
      <c r="A9" s="1" t="s">
        <v>225</v>
      </c>
      <c r="B9" s="3" t="s">
        <v>226</v>
      </c>
      <c r="C9" s="6">
        <v>0</v>
      </c>
      <c r="D9" s="3"/>
    </row>
    <row r="10" spans="1:12" x14ac:dyDescent="0.2">
      <c r="A10" s="1" t="s">
        <v>227</v>
      </c>
      <c r="B10" s="3" t="s">
        <v>228</v>
      </c>
      <c r="C10" s="4">
        <v>500000</v>
      </c>
      <c r="D10" s="3"/>
    </row>
    <row r="11" spans="1:12" x14ac:dyDescent="0.2">
      <c r="A11" s="1" t="s">
        <v>229</v>
      </c>
      <c r="B11" s="3" t="s">
        <v>230</v>
      </c>
      <c r="C11" s="5">
        <v>0.99960000000000004</v>
      </c>
      <c r="D11" s="1"/>
    </row>
    <row r="12" spans="1:12" x14ac:dyDescent="0.2">
      <c r="A12" s="8" t="s">
        <v>231</v>
      </c>
      <c r="B12" t="s">
        <v>232</v>
      </c>
      <c r="C12" s="6">
        <f>(1-SQRT(1-e))/(1+SQRT(1-e))</f>
        <v>1.6792203946285765E-3</v>
      </c>
    </row>
    <row r="13" spans="1:12" x14ac:dyDescent="0.2">
      <c r="A13" s="8" t="s">
        <v>233</v>
      </c>
      <c r="C13">
        <f>SQRT(e)</f>
        <v>8.1819191042810976E-2</v>
      </c>
    </row>
    <row r="14" spans="1:12" x14ac:dyDescent="0.2">
      <c r="A14" t="s">
        <v>234</v>
      </c>
      <c r="B14" s="13" t="s">
        <v>235</v>
      </c>
    </row>
    <row r="16" spans="1:12" s="44" customFormat="1" x14ac:dyDescent="0.2">
      <c r="A16" s="7" t="s">
        <v>13</v>
      </c>
      <c r="B16" s="7" t="s">
        <v>236</v>
      </c>
      <c r="C16" s="7" t="s">
        <v>237</v>
      </c>
      <c r="D16" s="7" t="s">
        <v>238</v>
      </c>
      <c r="E16" s="7" t="s">
        <v>239</v>
      </c>
      <c r="F16" s="7" t="s">
        <v>13</v>
      </c>
      <c r="H16" s="7" t="s">
        <v>2</v>
      </c>
      <c r="I16" s="7" t="s">
        <v>237</v>
      </c>
      <c r="J16" s="7" t="s">
        <v>240</v>
      </c>
      <c r="K16" s="7" t="s">
        <v>3</v>
      </c>
      <c r="L16" s="7" t="s">
        <v>241</v>
      </c>
    </row>
    <row r="17" spans="1:12" x14ac:dyDescent="0.2">
      <c r="A17" s="8">
        <v>1</v>
      </c>
      <c r="B17" s="8">
        <v>-177</v>
      </c>
      <c r="C17" s="8" t="str">
        <f>IF(B17&lt;0,"W","E")</f>
        <v>W</v>
      </c>
      <c r="D17" s="8">
        <v>-180</v>
      </c>
      <c r="E17" s="8">
        <f>D17+6</f>
        <v>-174</v>
      </c>
      <c r="F17" s="8">
        <v>1</v>
      </c>
      <c r="G17">
        <f>centm_zone(A17)</f>
        <v>-177</v>
      </c>
      <c r="H17" s="8">
        <v>-80</v>
      </c>
      <c r="I17" s="8" t="s">
        <v>242</v>
      </c>
      <c r="J17" s="8" t="s">
        <v>243</v>
      </c>
      <c r="K17">
        <v>-180</v>
      </c>
      <c r="L17">
        <v>-177</v>
      </c>
    </row>
    <row r="18" spans="1:12" x14ac:dyDescent="0.2">
      <c r="A18" s="8">
        <f>A17+1</f>
        <v>2</v>
      </c>
      <c r="B18" s="8">
        <f>B17+6</f>
        <v>-171</v>
      </c>
      <c r="C18" s="8" t="str">
        <f t="shared" ref="C18:C76" si="0">IF(B18&lt;0,"W","E")</f>
        <v>W</v>
      </c>
      <c r="D18" s="8">
        <f>D17+6</f>
        <v>-174</v>
      </c>
      <c r="E18" s="8">
        <f>E17+6</f>
        <v>-168</v>
      </c>
      <c r="F18" s="8">
        <f>F17+1</f>
        <v>2</v>
      </c>
      <c r="G18">
        <f t="shared" ref="G18:G76" si="1">centm_zone(A18)</f>
        <v>-171</v>
      </c>
      <c r="H18" s="8">
        <f>H17+8</f>
        <v>-72</v>
      </c>
      <c r="I18" s="8" t="s">
        <v>242</v>
      </c>
      <c r="J18" s="8" t="s">
        <v>244</v>
      </c>
      <c r="K18">
        <f>K17+1</f>
        <v>-179</v>
      </c>
      <c r="L18">
        <v>-177</v>
      </c>
    </row>
    <row r="19" spans="1:12" x14ac:dyDescent="0.2">
      <c r="A19" s="8">
        <f t="shared" ref="A19:A76" si="2">A18+1</f>
        <v>3</v>
      </c>
      <c r="B19" s="8">
        <f t="shared" ref="B19:B76" si="3">B18+6</f>
        <v>-165</v>
      </c>
      <c r="C19" s="8" t="str">
        <f t="shared" si="0"/>
        <v>W</v>
      </c>
      <c r="D19" s="8">
        <f t="shared" ref="D19:D76" si="4">D18+6</f>
        <v>-168</v>
      </c>
      <c r="E19" s="8">
        <f t="shared" ref="E19:E76" si="5">E18+6</f>
        <v>-162</v>
      </c>
      <c r="F19" s="8">
        <f t="shared" ref="F19:F76" si="6">F18+1</f>
        <v>3</v>
      </c>
      <c r="G19">
        <f t="shared" si="1"/>
        <v>-165</v>
      </c>
      <c r="H19" s="8">
        <f t="shared" ref="H19:H37" si="7">H18+8</f>
        <v>-64</v>
      </c>
      <c r="I19" s="8" t="s">
        <v>242</v>
      </c>
      <c r="J19" s="8" t="s">
        <v>245</v>
      </c>
      <c r="K19">
        <f t="shared" ref="K19:K82" si="8">K18+1</f>
        <v>-178</v>
      </c>
      <c r="L19">
        <v>-177</v>
      </c>
    </row>
    <row r="20" spans="1:12" x14ac:dyDescent="0.2">
      <c r="A20" s="8">
        <f t="shared" si="2"/>
        <v>4</v>
      </c>
      <c r="B20" s="8">
        <f t="shared" si="3"/>
        <v>-159</v>
      </c>
      <c r="C20" s="8" t="str">
        <f t="shared" si="0"/>
        <v>W</v>
      </c>
      <c r="D20" s="8">
        <f t="shared" si="4"/>
        <v>-162</v>
      </c>
      <c r="E20" s="8">
        <f t="shared" si="5"/>
        <v>-156</v>
      </c>
      <c r="F20" s="8">
        <f t="shared" si="6"/>
        <v>4</v>
      </c>
      <c r="G20">
        <f t="shared" si="1"/>
        <v>-159</v>
      </c>
      <c r="H20" s="8">
        <f t="shared" si="7"/>
        <v>-56</v>
      </c>
      <c r="I20" s="8" t="s">
        <v>242</v>
      </c>
      <c r="J20" s="8" t="s">
        <v>246</v>
      </c>
      <c r="K20">
        <f t="shared" si="8"/>
        <v>-177</v>
      </c>
      <c r="L20">
        <v>-177</v>
      </c>
    </row>
    <row r="21" spans="1:12" x14ac:dyDescent="0.2">
      <c r="A21" s="8">
        <f t="shared" si="2"/>
        <v>5</v>
      </c>
      <c r="B21" s="8">
        <f t="shared" si="3"/>
        <v>-153</v>
      </c>
      <c r="C21" s="8" t="str">
        <f t="shared" si="0"/>
        <v>W</v>
      </c>
      <c r="D21" s="8">
        <f t="shared" si="4"/>
        <v>-156</v>
      </c>
      <c r="E21" s="8">
        <f t="shared" si="5"/>
        <v>-150</v>
      </c>
      <c r="F21" s="8">
        <f t="shared" si="6"/>
        <v>5</v>
      </c>
      <c r="G21">
        <f t="shared" si="1"/>
        <v>-153</v>
      </c>
      <c r="H21" s="8">
        <f t="shared" si="7"/>
        <v>-48</v>
      </c>
      <c r="I21" s="8" t="s">
        <v>242</v>
      </c>
      <c r="J21" s="8" t="s">
        <v>247</v>
      </c>
      <c r="K21">
        <f t="shared" si="8"/>
        <v>-176</v>
      </c>
      <c r="L21">
        <v>-177</v>
      </c>
    </row>
    <row r="22" spans="1:12" x14ac:dyDescent="0.2">
      <c r="A22" s="8">
        <f t="shared" si="2"/>
        <v>6</v>
      </c>
      <c r="B22" s="8">
        <f t="shared" si="3"/>
        <v>-147</v>
      </c>
      <c r="C22" s="8" t="str">
        <f t="shared" si="0"/>
        <v>W</v>
      </c>
      <c r="D22" s="8">
        <f t="shared" si="4"/>
        <v>-150</v>
      </c>
      <c r="E22" s="8">
        <f t="shared" si="5"/>
        <v>-144</v>
      </c>
      <c r="F22" s="8">
        <f t="shared" si="6"/>
        <v>6</v>
      </c>
      <c r="G22">
        <f t="shared" si="1"/>
        <v>-147</v>
      </c>
      <c r="H22" s="8">
        <f t="shared" si="7"/>
        <v>-40</v>
      </c>
      <c r="I22" s="8" t="s">
        <v>242</v>
      </c>
      <c r="J22" s="8" t="s">
        <v>248</v>
      </c>
      <c r="K22">
        <f t="shared" si="8"/>
        <v>-175</v>
      </c>
      <c r="L22">
        <v>-177</v>
      </c>
    </row>
    <row r="23" spans="1:12" x14ac:dyDescent="0.2">
      <c r="A23" s="8">
        <f t="shared" si="2"/>
        <v>7</v>
      </c>
      <c r="B23" s="8">
        <f t="shared" si="3"/>
        <v>-141</v>
      </c>
      <c r="C23" s="8" t="str">
        <f t="shared" si="0"/>
        <v>W</v>
      </c>
      <c r="D23" s="8">
        <f t="shared" si="4"/>
        <v>-144</v>
      </c>
      <c r="E23" s="8">
        <f t="shared" si="5"/>
        <v>-138</v>
      </c>
      <c r="F23" s="8">
        <f t="shared" si="6"/>
        <v>7</v>
      </c>
      <c r="G23">
        <f t="shared" si="1"/>
        <v>-141</v>
      </c>
      <c r="H23" s="8">
        <f t="shared" si="7"/>
        <v>-32</v>
      </c>
      <c r="I23" s="8" t="s">
        <v>242</v>
      </c>
      <c r="J23" s="8" t="s">
        <v>249</v>
      </c>
      <c r="K23">
        <f t="shared" si="8"/>
        <v>-174</v>
      </c>
      <c r="L23">
        <v>-171</v>
      </c>
    </row>
    <row r="24" spans="1:12" x14ac:dyDescent="0.2">
      <c r="A24" s="8">
        <f t="shared" si="2"/>
        <v>8</v>
      </c>
      <c r="B24" s="8">
        <f t="shared" si="3"/>
        <v>-135</v>
      </c>
      <c r="C24" s="8" t="str">
        <f t="shared" si="0"/>
        <v>W</v>
      </c>
      <c r="D24" s="8">
        <f t="shared" si="4"/>
        <v>-138</v>
      </c>
      <c r="E24" s="8">
        <f t="shared" si="5"/>
        <v>-132</v>
      </c>
      <c r="F24" s="8">
        <f t="shared" si="6"/>
        <v>8</v>
      </c>
      <c r="G24">
        <f t="shared" si="1"/>
        <v>-135</v>
      </c>
      <c r="H24" s="8">
        <f t="shared" si="7"/>
        <v>-24</v>
      </c>
      <c r="I24" s="8" t="s">
        <v>242</v>
      </c>
      <c r="J24" s="8" t="s">
        <v>250</v>
      </c>
      <c r="K24">
        <f t="shared" si="8"/>
        <v>-173</v>
      </c>
      <c r="L24">
        <v>-171</v>
      </c>
    </row>
    <row r="25" spans="1:12" x14ac:dyDescent="0.2">
      <c r="A25" s="8">
        <f t="shared" si="2"/>
        <v>9</v>
      </c>
      <c r="B25" s="8">
        <f t="shared" si="3"/>
        <v>-129</v>
      </c>
      <c r="C25" s="8" t="str">
        <f t="shared" si="0"/>
        <v>W</v>
      </c>
      <c r="D25" s="8">
        <f t="shared" si="4"/>
        <v>-132</v>
      </c>
      <c r="E25" s="8">
        <f t="shared" si="5"/>
        <v>-126</v>
      </c>
      <c r="F25" s="8">
        <f t="shared" si="6"/>
        <v>9</v>
      </c>
      <c r="G25">
        <f t="shared" si="1"/>
        <v>-129</v>
      </c>
      <c r="H25" s="8">
        <f t="shared" si="7"/>
        <v>-16</v>
      </c>
      <c r="I25" s="8" t="s">
        <v>242</v>
      </c>
      <c r="J25" s="8" t="s">
        <v>251</v>
      </c>
      <c r="K25">
        <f t="shared" si="8"/>
        <v>-172</v>
      </c>
      <c r="L25">
        <v>-171</v>
      </c>
    </row>
    <row r="26" spans="1:12" x14ac:dyDescent="0.2">
      <c r="A26" s="8">
        <f t="shared" si="2"/>
        <v>10</v>
      </c>
      <c r="B26" s="8">
        <f t="shared" si="3"/>
        <v>-123</v>
      </c>
      <c r="C26" s="8" t="str">
        <f t="shared" si="0"/>
        <v>W</v>
      </c>
      <c r="D26" s="8">
        <f t="shared" si="4"/>
        <v>-126</v>
      </c>
      <c r="E26" s="8">
        <f t="shared" si="5"/>
        <v>-120</v>
      </c>
      <c r="F26" s="8">
        <f t="shared" si="6"/>
        <v>10</v>
      </c>
      <c r="G26">
        <f t="shared" si="1"/>
        <v>-123</v>
      </c>
      <c r="H26" s="8">
        <f t="shared" si="7"/>
        <v>-8</v>
      </c>
      <c r="I26" s="8"/>
      <c r="J26" s="8" t="s">
        <v>252</v>
      </c>
      <c r="K26">
        <f t="shared" si="8"/>
        <v>-171</v>
      </c>
      <c r="L26">
        <v>-171</v>
      </c>
    </row>
    <row r="27" spans="1:12" x14ac:dyDescent="0.2">
      <c r="A27" s="8">
        <f t="shared" si="2"/>
        <v>11</v>
      </c>
      <c r="B27" s="8">
        <f t="shared" si="3"/>
        <v>-117</v>
      </c>
      <c r="C27" s="8" t="str">
        <f t="shared" si="0"/>
        <v>W</v>
      </c>
      <c r="D27" s="8">
        <f t="shared" si="4"/>
        <v>-120</v>
      </c>
      <c r="E27" s="8">
        <f t="shared" si="5"/>
        <v>-114</v>
      </c>
      <c r="F27" s="8">
        <f t="shared" si="6"/>
        <v>11</v>
      </c>
      <c r="G27">
        <f t="shared" si="1"/>
        <v>-117</v>
      </c>
      <c r="H27" s="8">
        <f t="shared" si="7"/>
        <v>0</v>
      </c>
      <c r="I27" s="8" t="s">
        <v>252</v>
      </c>
      <c r="J27" s="8" t="s">
        <v>253</v>
      </c>
      <c r="K27">
        <f t="shared" si="8"/>
        <v>-170</v>
      </c>
      <c r="L27">
        <v>-171</v>
      </c>
    </row>
    <row r="28" spans="1:12" x14ac:dyDescent="0.2">
      <c r="A28" s="8">
        <f t="shared" si="2"/>
        <v>12</v>
      </c>
      <c r="B28" s="8">
        <f t="shared" si="3"/>
        <v>-111</v>
      </c>
      <c r="C28" s="8" t="str">
        <f t="shared" si="0"/>
        <v>W</v>
      </c>
      <c r="D28" s="8">
        <f t="shared" si="4"/>
        <v>-114</v>
      </c>
      <c r="E28" s="8">
        <f t="shared" si="5"/>
        <v>-108</v>
      </c>
      <c r="F28" s="8">
        <f t="shared" si="6"/>
        <v>12</v>
      </c>
      <c r="G28">
        <f t="shared" si="1"/>
        <v>-111</v>
      </c>
      <c r="H28" s="8">
        <f t="shared" si="7"/>
        <v>8</v>
      </c>
      <c r="I28" s="8" t="s">
        <v>252</v>
      </c>
      <c r="J28" s="8" t="s">
        <v>254</v>
      </c>
      <c r="K28">
        <f t="shared" si="8"/>
        <v>-169</v>
      </c>
      <c r="L28">
        <v>-171</v>
      </c>
    </row>
    <row r="29" spans="1:12" x14ac:dyDescent="0.2">
      <c r="A29" s="8">
        <f t="shared" si="2"/>
        <v>13</v>
      </c>
      <c r="B29" s="8">
        <f t="shared" si="3"/>
        <v>-105</v>
      </c>
      <c r="C29" s="8" t="str">
        <f t="shared" si="0"/>
        <v>W</v>
      </c>
      <c r="D29" s="8">
        <f t="shared" si="4"/>
        <v>-108</v>
      </c>
      <c r="E29" s="8">
        <f t="shared" si="5"/>
        <v>-102</v>
      </c>
      <c r="F29" s="8">
        <f t="shared" si="6"/>
        <v>13</v>
      </c>
      <c r="G29">
        <f t="shared" si="1"/>
        <v>-105</v>
      </c>
      <c r="H29" s="8">
        <f t="shared" si="7"/>
        <v>16</v>
      </c>
      <c r="I29" s="8" t="s">
        <v>252</v>
      </c>
      <c r="J29" s="8" t="s">
        <v>255</v>
      </c>
      <c r="K29">
        <f t="shared" si="8"/>
        <v>-168</v>
      </c>
      <c r="L29">
        <v>-165</v>
      </c>
    </row>
    <row r="30" spans="1:12" x14ac:dyDescent="0.2">
      <c r="A30" s="8">
        <f t="shared" si="2"/>
        <v>14</v>
      </c>
      <c r="B30" s="8">
        <f t="shared" si="3"/>
        <v>-99</v>
      </c>
      <c r="C30" s="8" t="str">
        <f t="shared" si="0"/>
        <v>W</v>
      </c>
      <c r="D30" s="8">
        <f t="shared" si="4"/>
        <v>-102</v>
      </c>
      <c r="E30" s="8">
        <f t="shared" si="5"/>
        <v>-96</v>
      </c>
      <c r="F30" s="8">
        <f t="shared" si="6"/>
        <v>14</v>
      </c>
      <c r="G30">
        <f t="shared" si="1"/>
        <v>-99</v>
      </c>
      <c r="H30" s="8">
        <f t="shared" si="7"/>
        <v>24</v>
      </c>
      <c r="I30" s="8" t="s">
        <v>252</v>
      </c>
      <c r="J30" s="8" t="s">
        <v>256</v>
      </c>
      <c r="K30">
        <f t="shared" si="8"/>
        <v>-167</v>
      </c>
      <c r="L30">
        <v>-165</v>
      </c>
    </row>
    <row r="31" spans="1:12" x14ac:dyDescent="0.2">
      <c r="A31" s="8">
        <f t="shared" si="2"/>
        <v>15</v>
      </c>
      <c r="B31" s="8">
        <f t="shared" si="3"/>
        <v>-93</v>
      </c>
      <c r="C31" s="8" t="str">
        <f t="shared" si="0"/>
        <v>W</v>
      </c>
      <c r="D31" s="8">
        <f t="shared" si="4"/>
        <v>-96</v>
      </c>
      <c r="E31" s="8">
        <f t="shared" si="5"/>
        <v>-90</v>
      </c>
      <c r="F31" s="8">
        <f t="shared" si="6"/>
        <v>15</v>
      </c>
      <c r="G31">
        <f t="shared" si="1"/>
        <v>-93</v>
      </c>
      <c r="H31" s="8">
        <f t="shared" si="7"/>
        <v>32</v>
      </c>
      <c r="I31" s="8" t="s">
        <v>252</v>
      </c>
      <c r="J31" s="8" t="s">
        <v>242</v>
      </c>
      <c r="K31">
        <f t="shared" si="8"/>
        <v>-166</v>
      </c>
      <c r="L31">
        <v>-165</v>
      </c>
    </row>
    <row r="32" spans="1:12" x14ac:dyDescent="0.2">
      <c r="A32" s="8">
        <f t="shared" si="2"/>
        <v>16</v>
      </c>
      <c r="B32" s="8">
        <f t="shared" si="3"/>
        <v>-87</v>
      </c>
      <c r="C32" s="8" t="str">
        <f t="shared" si="0"/>
        <v>W</v>
      </c>
      <c r="D32" s="8">
        <f t="shared" si="4"/>
        <v>-90</v>
      </c>
      <c r="E32" s="8">
        <f t="shared" si="5"/>
        <v>-84</v>
      </c>
      <c r="F32" s="8">
        <f t="shared" si="6"/>
        <v>16</v>
      </c>
      <c r="G32">
        <f t="shared" si="1"/>
        <v>-87</v>
      </c>
      <c r="H32" s="8">
        <f t="shared" si="7"/>
        <v>40</v>
      </c>
      <c r="I32" s="8" t="s">
        <v>252</v>
      </c>
      <c r="J32" s="8" t="s">
        <v>257</v>
      </c>
      <c r="K32">
        <f t="shared" si="8"/>
        <v>-165</v>
      </c>
      <c r="L32">
        <v>-165</v>
      </c>
    </row>
    <row r="33" spans="1:12" x14ac:dyDescent="0.2">
      <c r="A33" s="8">
        <f t="shared" si="2"/>
        <v>17</v>
      </c>
      <c r="B33" s="8">
        <f t="shared" si="3"/>
        <v>-81</v>
      </c>
      <c r="C33" s="8" t="str">
        <f t="shared" si="0"/>
        <v>W</v>
      </c>
      <c r="D33" s="8">
        <f t="shared" si="4"/>
        <v>-84</v>
      </c>
      <c r="E33" s="8">
        <f t="shared" si="5"/>
        <v>-78</v>
      </c>
      <c r="F33" s="8">
        <f t="shared" si="6"/>
        <v>17</v>
      </c>
      <c r="G33">
        <f t="shared" si="1"/>
        <v>-81</v>
      </c>
      <c r="H33" s="8">
        <f t="shared" si="7"/>
        <v>48</v>
      </c>
      <c r="I33" s="8" t="s">
        <v>252</v>
      </c>
      <c r="J33" s="8" t="s">
        <v>258</v>
      </c>
      <c r="K33">
        <f t="shared" si="8"/>
        <v>-164</v>
      </c>
      <c r="L33">
        <v>-165</v>
      </c>
    </row>
    <row r="34" spans="1:12" x14ac:dyDescent="0.2">
      <c r="A34" s="8">
        <f t="shared" si="2"/>
        <v>18</v>
      </c>
      <c r="B34" s="8">
        <f t="shared" si="3"/>
        <v>-75</v>
      </c>
      <c r="C34" s="8" t="str">
        <f t="shared" si="0"/>
        <v>W</v>
      </c>
      <c r="D34" s="8">
        <f t="shared" si="4"/>
        <v>-78</v>
      </c>
      <c r="E34" s="8">
        <f t="shared" si="5"/>
        <v>-72</v>
      </c>
      <c r="F34" s="8">
        <f t="shared" si="6"/>
        <v>18</v>
      </c>
      <c r="G34">
        <f t="shared" si="1"/>
        <v>-75</v>
      </c>
      <c r="H34" s="8">
        <f t="shared" si="7"/>
        <v>56</v>
      </c>
      <c r="I34" s="8" t="s">
        <v>252</v>
      </c>
      <c r="J34" s="8" t="s">
        <v>259</v>
      </c>
      <c r="K34">
        <f t="shared" si="8"/>
        <v>-163</v>
      </c>
      <c r="L34">
        <v>-165</v>
      </c>
    </row>
    <row r="35" spans="1:12" x14ac:dyDescent="0.2">
      <c r="A35" s="8">
        <f t="shared" si="2"/>
        <v>19</v>
      </c>
      <c r="B35" s="8">
        <f t="shared" si="3"/>
        <v>-69</v>
      </c>
      <c r="C35" s="8" t="str">
        <f t="shared" si="0"/>
        <v>W</v>
      </c>
      <c r="D35" s="8">
        <f t="shared" si="4"/>
        <v>-72</v>
      </c>
      <c r="E35" s="8">
        <f t="shared" si="5"/>
        <v>-66</v>
      </c>
      <c r="F35" s="8">
        <f t="shared" si="6"/>
        <v>19</v>
      </c>
      <c r="G35">
        <f t="shared" si="1"/>
        <v>-69</v>
      </c>
      <c r="H35" s="8">
        <f t="shared" si="7"/>
        <v>64</v>
      </c>
      <c r="I35" s="8" t="s">
        <v>252</v>
      </c>
      <c r="J35" s="8" t="s">
        <v>260</v>
      </c>
      <c r="K35">
        <f t="shared" si="8"/>
        <v>-162</v>
      </c>
      <c r="L35">
        <v>-159</v>
      </c>
    </row>
    <row r="36" spans="1:12" x14ac:dyDescent="0.2">
      <c r="A36" s="8">
        <f t="shared" si="2"/>
        <v>20</v>
      </c>
      <c r="B36" s="8">
        <f t="shared" si="3"/>
        <v>-63</v>
      </c>
      <c r="C36" s="8" t="str">
        <f t="shared" si="0"/>
        <v>W</v>
      </c>
      <c r="D36" s="8">
        <f t="shared" si="4"/>
        <v>-66</v>
      </c>
      <c r="E36" s="8">
        <f t="shared" si="5"/>
        <v>-60</v>
      </c>
      <c r="F36" s="8">
        <f t="shared" si="6"/>
        <v>20</v>
      </c>
      <c r="G36">
        <f t="shared" si="1"/>
        <v>-63</v>
      </c>
      <c r="H36" s="8">
        <f t="shared" si="7"/>
        <v>72</v>
      </c>
      <c r="I36" s="8" t="s">
        <v>252</v>
      </c>
      <c r="J36" s="8" t="s">
        <v>261</v>
      </c>
      <c r="K36">
        <f t="shared" si="8"/>
        <v>-161</v>
      </c>
      <c r="L36">
        <v>-159</v>
      </c>
    </row>
    <row r="37" spans="1:12" x14ac:dyDescent="0.2">
      <c r="A37" s="8">
        <f t="shared" si="2"/>
        <v>21</v>
      </c>
      <c r="B37" s="8">
        <f t="shared" si="3"/>
        <v>-57</v>
      </c>
      <c r="C37" s="8" t="str">
        <f t="shared" si="0"/>
        <v>W</v>
      </c>
      <c r="D37" s="8">
        <f t="shared" si="4"/>
        <v>-60</v>
      </c>
      <c r="E37" s="8">
        <f t="shared" si="5"/>
        <v>-54</v>
      </c>
      <c r="F37" s="8">
        <f t="shared" si="6"/>
        <v>21</v>
      </c>
      <c r="G37">
        <f t="shared" si="1"/>
        <v>-57</v>
      </c>
      <c r="H37" s="8">
        <f t="shared" si="7"/>
        <v>80</v>
      </c>
      <c r="I37" s="8" t="s">
        <v>252</v>
      </c>
      <c r="J37" s="8" t="s">
        <v>261</v>
      </c>
      <c r="K37">
        <f t="shared" si="8"/>
        <v>-160</v>
      </c>
      <c r="L37">
        <v>-159</v>
      </c>
    </row>
    <row r="38" spans="1:12" x14ac:dyDescent="0.2">
      <c r="A38" s="8">
        <f t="shared" si="2"/>
        <v>22</v>
      </c>
      <c r="B38" s="8">
        <f t="shared" si="3"/>
        <v>-51</v>
      </c>
      <c r="C38" s="8" t="str">
        <f t="shared" si="0"/>
        <v>W</v>
      </c>
      <c r="D38" s="8">
        <f t="shared" si="4"/>
        <v>-54</v>
      </c>
      <c r="E38" s="8">
        <f t="shared" si="5"/>
        <v>-48</v>
      </c>
      <c r="F38" s="8">
        <f t="shared" si="6"/>
        <v>22</v>
      </c>
      <c r="G38">
        <f t="shared" si="1"/>
        <v>-51</v>
      </c>
      <c r="H38" s="8"/>
      <c r="I38" s="8"/>
      <c r="K38">
        <f t="shared" si="8"/>
        <v>-159</v>
      </c>
      <c r="L38">
        <v>-159</v>
      </c>
    </row>
    <row r="39" spans="1:12" x14ac:dyDescent="0.2">
      <c r="A39" s="8">
        <f t="shared" si="2"/>
        <v>23</v>
      </c>
      <c r="B39" s="8">
        <f t="shared" si="3"/>
        <v>-45</v>
      </c>
      <c r="C39" s="8" t="str">
        <f t="shared" si="0"/>
        <v>W</v>
      </c>
      <c r="D39" s="8">
        <f t="shared" si="4"/>
        <v>-48</v>
      </c>
      <c r="E39" s="8">
        <f t="shared" si="5"/>
        <v>-42</v>
      </c>
      <c r="F39" s="8">
        <f t="shared" si="6"/>
        <v>23</v>
      </c>
      <c r="G39">
        <f t="shared" si="1"/>
        <v>-45</v>
      </c>
      <c r="H39" s="8"/>
      <c r="K39">
        <f t="shared" si="8"/>
        <v>-158</v>
      </c>
      <c r="L39">
        <v>-159</v>
      </c>
    </row>
    <row r="40" spans="1:12" x14ac:dyDescent="0.2">
      <c r="A40" s="8">
        <f t="shared" si="2"/>
        <v>24</v>
      </c>
      <c r="B40" s="8">
        <f t="shared" si="3"/>
        <v>-39</v>
      </c>
      <c r="C40" s="8" t="str">
        <f t="shared" si="0"/>
        <v>W</v>
      </c>
      <c r="D40" s="8">
        <f t="shared" si="4"/>
        <v>-42</v>
      </c>
      <c r="E40" s="8">
        <f t="shared" si="5"/>
        <v>-36</v>
      </c>
      <c r="F40" s="8">
        <f t="shared" si="6"/>
        <v>24</v>
      </c>
      <c r="G40">
        <f t="shared" si="1"/>
        <v>-39</v>
      </c>
      <c r="H40" s="8"/>
      <c r="K40">
        <f t="shared" si="8"/>
        <v>-157</v>
      </c>
      <c r="L40">
        <v>-159</v>
      </c>
    </row>
    <row r="41" spans="1:12" x14ac:dyDescent="0.2">
      <c r="A41" s="8">
        <f t="shared" si="2"/>
        <v>25</v>
      </c>
      <c r="B41" s="8">
        <f t="shared" si="3"/>
        <v>-33</v>
      </c>
      <c r="C41" s="8" t="str">
        <f t="shared" si="0"/>
        <v>W</v>
      </c>
      <c r="D41" s="8">
        <f t="shared" si="4"/>
        <v>-36</v>
      </c>
      <c r="E41" s="8">
        <f t="shared" si="5"/>
        <v>-30</v>
      </c>
      <c r="F41" s="8">
        <f t="shared" si="6"/>
        <v>25</v>
      </c>
      <c r="G41">
        <f t="shared" si="1"/>
        <v>-33</v>
      </c>
      <c r="H41" s="8"/>
      <c r="K41">
        <f t="shared" si="8"/>
        <v>-156</v>
      </c>
      <c r="L41">
        <v>-153</v>
      </c>
    </row>
    <row r="42" spans="1:12" x14ac:dyDescent="0.2">
      <c r="A42" s="8">
        <f t="shared" si="2"/>
        <v>26</v>
      </c>
      <c r="B42" s="8">
        <f t="shared" si="3"/>
        <v>-27</v>
      </c>
      <c r="C42" s="8" t="str">
        <f t="shared" si="0"/>
        <v>W</v>
      </c>
      <c r="D42" s="8">
        <f t="shared" si="4"/>
        <v>-30</v>
      </c>
      <c r="E42" s="8">
        <f t="shared" si="5"/>
        <v>-24</v>
      </c>
      <c r="F42" s="8">
        <f t="shared" si="6"/>
        <v>26</v>
      </c>
      <c r="G42">
        <f t="shared" si="1"/>
        <v>-27</v>
      </c>
      <c r="H42" s="8"/>
      <c r="K42">
        <f t="shared" si="8"/>
        <v>-155</v>
      </c>
      <c r="L42">
        <v>-153</v>
      </c>
    </row>
    <row r="43" spans="1:12" x14ac:dyDescent="0.2">
      <c r="A43" s="8">
        <f t="shared" si="2"/>
        <v>27</v>
      </c>
      <c r="B43" s="8">
        <f t="shared" si="3"/>
        <v>-21</v>
      </c>
      <c r="C43" s="8" t="str">
        <f t="shared" si="0"/>
        <v>W</v>
      </c>
      <c r="D43" s="8">
        <f t="shared" si="4"/>
        <v>-24</v>
      </c>
      <c r="E43" s="8">
        <f t="shared" si="5"/>
        <v>-18</v>
      </c>
      <c r="F43" s="8">
        <f t="shared" si="6"/>
        <v>27</v>
      </c>
      <c r="G43">
        <f t="shared" si="1"/>
        <v>-21</v>
      </c>
      <c r="H43" s="8"/>
      <c r="K43">
        <f t="shared" si="8"/>
        <v>-154</v>
      </c>
      <c r="L43">
        <v>-153</v>
      </c>
    </row>
    <row r="44" spans="1:12" x14ac:dyDescent="0.2">
      <c r="A44" s="8">
        <f t="shared" si="2"/>
        <v>28</v>
      </c>
      <c r="B44" s="8">
        <f t="shared" si="3"/>
        <v>-15</v>
      </c>
      <c r="C44" s="8" t="str">
        <f t="shared" si="0"/>
        <v>W</v>
      </c>
      <c r="D44" s="8">
        <f t="shared" si="4"/>
        <v>-18</v>
      </c>
      <c r="E44" s="8">
        <f t="shared" si="5"/>
        <v>-12</v>
      </c>
      <c r="F44" s="8">
        <f t="shared" si="6"/>
        <v>28</v>
      </c>
      <c r="G44">
        <f t="shared" si="1"/>
        <v>-15</v>
      </c>
      <c r="H44" s="8"/>
      <c r="K44">
        <f t="shared" si="8"/>
        <v>-153</v>
      </c>
      <c r="L44">
        <v>-153</v>
      </c>
    </row>
    <row r="45" spans="1:12" x14ac:dyDescent="0.2">
      <c r="A45" s="8">
        <f t="shared" si="2"/>
        <v>29</v>
      </c>
      <c r="B45" s="8">
        <f t="shared" si="3"/>
        <v>-9</v>
      </c>
      <c r="C45" s="8" t="str">
        <f t="shared" si="0"/>
        <v>W</v>
      </c>
      <c r="D45" s="8">
        <f t="shared" si="4"/>
        <v>-12</v>
      </c>
      <c r="E45" s="8">
        <f t="shared" si="5"/>
        <v>-6</v>
      </c>
      <c r="F45" s="8">
        <f t="shared" si="6"/>
        <v>29</v>
      </c>
      <c r="G45">
        <f t="shared" si="1"/>
        <v>-9</v>
      </c>
      <c r="H45" s="8"/>
      <c r="K45">
        <f t="shared" si="8"/>
        <v>-152</v>
      </c>
      <c r="L45">
        <v>-153</v>
      </c>
    </row>
    <row r="46" spans="1:12" x14ac:dyDescent="0.2">
      <c r="A46" s="8">
        <f t="shared" si="2"/>
        <v>30</v>
      </c>
      <c r="B46" s="8">
        <f t="shared" si="3"/>
        <v>-3</v>
      </c>
      <c r="C46" s="8" t="str">
        <f t="shared" si="0"/>
        <v>W</v>
      </c>
      <c r="D46" s="8">
        <f t="shared" si="4"/>
        <v>-6</v>
      </c>
      <c r="E46" s="8">
        <f t="shared" si="5"/>
        <v>0</v>
      </c>
      <c r="F46" s="8">
        <f t="shared" si="6"/>
        <v>30</v>
      </c>
      <c r="G46">
        <f t="shared" si="1"/>
        <v>-3</v>
      </c>
      <c r="H46" s="8"/>
      <c r="K46">
        <f t="shared" si="8"/>
        <v>-151</v>
      </c>
      <c r="L46">
        <v>-153</v>
      </c>
    </row>
    <row r="47" spans="1:12" x14ac:dyDescent="0.2">
      <c r="A47" s="8">
        <f t="shared" si="2"/>
        <v>31</v>
      </c>
      <c r="B47" s="8">
        <f t="shared" si="3"/>
        <v>3</v>
      </c>
      <c r="C47" s="8" t="str">
        <f t="shared" si="0"/>
        <v>E</v>
      </c>
      <c r="D47" s="8">
        <f t="shared" si="4"/>
        <v>0</v>
      </c>
      <c r="E47" s="8">
        <f t="shared" si="5"/>
        <v>6</v>
      </c>
      <c r="F47" s="8">
        <f t="shared" si="6"/>
        <v>31</v>
      </c>
      <c r="G47">
        <f t="shared" si="1"/>
        <v>3</v>
      </c>
      <c r="H47" s="8"/>
      <c r="K47">
        <f t="shared" si="8"/>
        <v>-150</v>
      </c>
      <c r="L47">
        <v>-147</v>
      </c>
    </row>
    <row r="48" spans="1:12" x14ac:dyDescent="0.2">
      <c r="A48" s="8">
        <f t="shared" si="2"/>
        <v>32</v>
      </c>
      <c r="B48" s="8">
        <f t="shared" si="3"/>
        <v>9</v>
      </c>
      <c r="C48" s="8" t="str">
        <f t="shared" si="0"/>
        <v>E</v>
      </c>
      <c r="D48" s="8">
        <f t="shared" si="4"/>
        <v>6</v>
      </c>
      <c r="E48" s="8">
        <f t="shared" si="5"/>
        <v>12</v>
      </c>
      <c r="F48" s="8">
        <f t="shared" si="6"/>
        <v>32</v>
      </c>
      <c r="G48">
        <f t="shared" si="1"/>
        <v>9</v>
      </c>
      <c r="H48" s="8"/>
      <c r="K48">
        <f t="shared" si="8"/>
        <v>-149</v>
      </c>
      <c r="L48">
        <v>-147</v>
      </c>
    </row>
    <row r="49" spans="1:12" x14ac:dyDescent="0.2">
      <c r="A49" s="8">
        <f t="shared" si="2"/>
        <v>33</v>
      </c>
      <c r="B49" s="8">
        <f t="shared" si="3"/>
        <v>15</v>
      </c>
      <c r="C49" s="8" t="str">
        <f t="shared" si="0"/>
        <v>E</v>
      </c>
      <c r="D49" s="8">
        <f t="shared" si="4"/>
        <v>12</v>
      </c>
      <c r="E49" s="8">
        <f t="shared" si="5"/>
        <v>18</v>
      </c>
      <c r="F49" s="8">
        <f t="shared" si="6"/>
        <v>33</v>
      </c>
      <c r="G49">
        <f t="shared" si="1"/>
        <v>15</v>
      </c>
      <c r="H49" s="8"/>
      <c r="K49">
        <f t="shared" si="8"/>
        <v>-148</v>
      </c>
      <c r="L49">
        <v>-147</v>
      </c>
    </row>
    <row r="50" spans="1:12" x14ac:dyDescent="0.2">
      <c r="A50" s="8">
        <f t="shared" si="2"/>
        <v>34</v>
      </c>
      <c r="B50" s="8">
        <f t="shared" si="3"/>
        <v>21</v>
      </c>
      <c r="C50" s="8" t="str">
        <f t="shared" si="0"/>
        <v>E</v>
      </c>
      <c r="D50" s="8">
        <f t="shared" si="4"/>
        <v>18</v>
      </c>
      <c r="E50" s="8">
        <f t="shared" si="5"/>
        <v>24</v>
      </c>
      <c r="F50" s="8">
        <f t="shared" si="6"/>
        <v>34</v>
      </c>
      <c r="G50">
        <f t="shared" si="1"/>
        <v>21</v>
      </c>
      <c r="H50" s="8"/>
      <c r="K50">
        <f t="shared" si="8"/>
        <v>-147</v>
      </c>
      <c r="L50">
        <v>-147</v>
      </c>
    </row>
    <row r="51" spans="1:12" x14ac:dyDescent="0.2">
      <c r="A51" s="8">
        <f t="shared" si="2"/>
        <v>35</v>
      </c>
      <c r="B51" s="8">
        <f t="shared" si="3"/>
        <v>27</v>
      </c>
      <c r="C51" s="8" t="str">
        <f t="shared" si="0"/>
        <v>E</v>
      </c>
      <c r="D51" s="8">
        <f t="shared" si="4"/>
        <v>24</v>
      </c>
      <c r="E51" s="8">
        <f t="shared" si="5"/>
        <v>30</v>
      </c>
      <c r="F51" s="8">
        <f t="shared" si="6"/>
        <v>35</v>
      </c>
      <c r="G51">
        <f t="shared" si="1"/>
        <v>27</v>
      </c>
      <c r="H51" s="8"/>
      <c r="K51">
        <f t="shared" si="8"/>
        <v>-146</v>
      </c>
      <c r="L51">
        <v>-147</v>
      </c>
    </row>
    <row r="52" spans="1:12" x14ac:dyDescent="0.2">
      <c r="A52" s="8">
        <f t="shared" si="2"/>
        <v>36</v>
      </c>
      <c r="B52" s="8">
        <f t="shared" si="3"/>
        <v>33</v>
      </c>
      <c r="C52" s="8" t="str">
        <f t="shared" si="0"/>
        <v>E</v>
      </c>
      <c r="D52" s="8">
        <f t="shared" si="4"/>
        <v>30</v>
      </c>
      <c r="E52" s="8">
        <f t="shared" si="5"/>
        <v>36</v>
      </c>
      <c r="F52" s="8">
        <f t="shared" si="6"/>
        <v>36</v>
      </c>
      <c r="G52">
        <f t="shared" si="1"/>
        <v>33</v>
      </c>
      <c r="K52">
        <f t="shared" si="8"/>
        <v>-145</v>
      </c>
      <c r="L52">
        <v>-147</v>
      </c>
    </row>
    <row r="53" spans="1:12" x14ac:dyDescent="0.2">
      <c r="A53" s="8">
        <f t="shared" si="2"/>
        <v>37</v>
      </c>
      <c r="B53" s="8">
        <f t="shared" si="3"/>
        <v>39</v>
      </c>
      <c r="C53" s="8" t="str">
        <f t="shared" si="0"/>
        <v>E</v>
      </c>
      <c r="D53" s="8">
        <f t="shared" si="4"/>
        <v>36</v>
      </c>
      <c r="E53" s="8">
        <f t="shared" si="5"/>
        <v>42</v>
      </c>
      <c r="F53" s="8">
        <f t="shared" si="6"/>
        <v>37</v>
      </c>
      <c r="G53">
        <f t="shared" si="1"/>
        <v>39</v>
      </c>
      <c r="K53">
        <f t="shared" si="8"/>
        <v>-144</v>
      </c>
      <c r="L53">
        <v>-141</v>
      </c>
    </row>
    <row r="54" spans="1:12" x14ac:dyDescent="0.2">
      <c r="A54" s="8">
        <f t="shared" si="2"/>
        <v>38</v>
      </c>
      <c r="B54" s="8">
        <f t="shared" si="3"/>
        <v>45</v>
      </c>
      <c r="C54" s="8" t="str">
        <f t="shared" si="0"/>
        <v>E</v>
      </c>
      <c r="D54" s="8">
        <f t="shared" si="4"/>
        <v>42</v>
      </c>
      <c r="E54" s="8">
        <f t="shared" si="5"/>
        <v>48</v>
      </c>
      <c r="F54" s="8">
        <f t="shared" si="6"/>
        <v>38</v>
      </c>
      <c r="G54">
        <f t="shared" si="1"/>
        <v>45</v>
      </c>
      <c r="K54">
        <f t="shared" si="8"/>
        <v>-143</v>
      </c>
      <c r="L54">
        <v>-141</v>
      </c>
    </row>
    <row r="55" spans="1:12" x14ac:dyDescent="0.2">
      <c r="A55" s="8">
        <f t="shared" si="2"/>
        <v>39</v>
      </c>
      <c r="B55" s="8">
        <f t="shared" si="3"/>
        <v>51</v>
      </c>
      <c r="C55" s="8" t="str">
        <f t="shared" si="0"/>
        <v>E</v>
      </c>
      <c r="D55" s="8">
        <f t="shared" si="4"/>
        <v>48</v>
      </c>
      <c r="E55" s="8">
        <f t="shared" si="5"/>
        <v>54</v>
      </c>
      <c r="F55" s="8">
        <f t="shared" si="6"/>
        <v>39</v>
      </c>
      <c r="G55">
        <f t="shared" si="1"/>
        <v>51</v>
      </c>
      <c r="K55">
        <f t="shared" si="8"/>
        <v>-142</v>
      </c>
      <c r="L55">
        <v>-141</v>
      </c>
    </row>
    <row r="56" spans="1:12" x14ac:dyDescent="0.2">
      <c r="A56" s="8">
        <f t="shared" si="2"/>
        <v>40</v>
      </c>
      <c r="B56" s="8">
        <f t="shared" si="3"/>
        <v>57</v>
      </c>
      <c r="C56" s="8" t="str">
        <f t="shared" si="0"/>
        <v>E</v>
      </c>
      <c r="D56" s="8">
        <f t="shared" si="4"/>
        <v>54</v>
      </c>
      <c r="E56" s="8">
        <f t="shared" si="5"/>
        <v>60</v>
      </c>
      <c r="F56" s="8">
        <f t="shared" si="6"/>
        <v>40</v>
      </c>
      <c r="G56">
        <f t="shared" si="1"/>
        <v>57</v>
      </c>
      <c r="K56">
        <f t="shared" si="8"/>
        <v>-141</v>
      </c>
      <c r="L56">
        <v>-141</v>
      </c>
    </row>
    <row r="57" spans="1:12" x14ac:dyDescent="0.2">
      <c r="A57" s="8">
        <f t="shared" si="2"/>
        <v>41</v>
      </c>
      <c r="B57" s="8">
        <f t="shared" si="3"/>
        <v>63</v>
      </c>
      <c r="C57" s="8" t="str">
        <f t="shared" si="0"/>
        <v>E</v>
      </c>
      <c r="D57" s="8">
        <f t="shared" si="4"/>
        <v>60</v>
      </c>
      <c r="E57" s="8">
        <f t="shared" si="5"/>
        <v>66</v>
      </c>
      <c r="F57" s="8">
        <f t="shared" si="6"/>
        <v>41</v>
      </c>
      <c r="G57">
        <f t="shared" si="1"/>
        <v>63</v>
      </c>
      <c r="K57">
        <f t="shared" si="8"/>
        <v>-140</v>
      </c>
      <c r="L57">
        <v>-141</v>
      </c>
    </row>
    <row r="58" spans="1:12" x14ac:dyDescent="0.2">
      <c r="A58" s="8">
        <f t="shared" si="2"/>
        <v>42</v>
      </c>
      <c r="B58" s="8">
        <f t="shared" si="3"/>
        <v>69</v>
      </c>
      <c r="C58" s="8" t="str">
        <f t="shared" si="0"/>
        <v>E</v>
      </c>
      <c r="D58" s="8">
        <f t="shared" si="4"/>
        <v>66</v>
      </c>
      <c r="E58" s="8">
        <f t="shared" si="5"/>
        <v>72</v>
      </c>
      <c r="F58" s="8">
        <f t="shared" si="6"/>
        <v>42</v>
      </c>
      <c r="G58">
        <f t="shared" si="1"/>
        <v>69</v>
      </c>
      <c r="K58">
        <f t="shared" si="8"/>
        <v>-139</v>
      </c>
      <c r="L58">
        <v>-141</v>
      </c>
    </row>
    <row r="59" spans="1:12" x14ac:dyDescent="0.2">
      <c r="A59" s="8">
        <f t="shared" si="2"/>
        <v>43</v>
      </c>
      <c r="B59" s="8">
        <f t="shared" si="3"/>
        <v>75</v>
      </c>
      <c r="C59" s="8" t="str">
        <f t="shared" si="0"/>
        <v>E</v>
      </c>
      <c r="D59" s="8">
        <f t="shared" si="4"/>
        <v>72</v>
      </c>
      <c r="E59" s="8">
        <f t="shared" si="5"/>
        <v>78</v>
      </c>
      <c r="F59" s="8">
        <f t="shared" si="6"/>
        <v>43</v>
      </c>
      <c r="G59">
        <f t="shared" si="1"/>
        <v>75</v>
      </c>
      <c r="K59">
        <f t="shared" si="8"/>
        <v>-138</v>
      </c>
      <c r="L59">
        <v>-135</v>
      </c>
    </row>
    <row r="60" spans="1:12" x14ac:dyDescent="0.2">
      <c r="A60" s="8">
        <f t="shared" si="2"/>
        <v>44</v>
      </c>
      <c r="B60" s="8">
        <f t="shared" si="3"/>
        <v>81</v>
      </c>
      <c r="C60" s="8" t="str">
        <f t="shared" si="0"/>
        <v>E</v>
      </c>
      <c r="D60" s="8">
        <f t="shared" si="4"/>
        <v>78</v>
      </c>
      <c r="E60" s="8">
        <f t="shared" si="5"/>
        <v>84</v>
      </c>
      <c r="F60" s="8">
        <f t="shared" si="6"/>
        <v>44</v>
      </c>
      <c r="G60">
        <f t="shared" si="1"/>
        <v>81</v>
      </c>
      <c r="K60">
        <f t="shared" si="8"/>
        <v>-137</v>
      </c>
      <c r="L60">
        <v>-135</v>
      </c>
    </row>
    <row r="61" spans="1:12" x14ac:dyDescent="0.2">
      <c r="A61" s="8">
        <f t="shared" si="2"/>
        <v>45</v>
      </c>
      <c r="B61" s="8">
        <f t="shared" si="3"/>
        <v>87</v>
      </c>
      <c r="C61" s="8" t="str">
        <f t="shared" si="0"/>
        <v>E</v>
      </c>
      <c r="D61" s="8">
        <f t="shared" si="4"/>
        <v>84</v>
      </c>
      <c r="E61" s="8">
        <f t="shared" si="5"/>
        <v>90</v>
      </c>
      <c r="F61" s="8">
        <f t="shared" si="6"/>
        <v>45</v>
      </c>
      <c r="G61">
        <f t="shared" si="1"/>
        <v>87</v>
      </c>
      <c r="K61">
        <f t="shared" si="8"/>
        <v>-136</v>
      </c>
      <c r="L61">
        <v>-135</v>
      </c>
    </row>
    <row r="62" spans="1:12" x14ac:dyDescent="0.2">
      <c r="A62" s="8">
        <f t="shared" si="2"/>
        <v>46</v>
      </c>
      <c r="B62" s="8">
        <f t="shared" si="3"/>
        <v>93</v>
      </c>
      <c r="C62" s="8" t="str">
        <f t="shared" si="0"/>
        <v>E</v>
      </c>
      <c r="D62" s="8">
        <f t="shared" si="4"/>
        <v>90</v>
      </c>
      <c r="E62" s="8">
        <f t="shared" si="5"/>
        <v>96</v>
      </c>
      <c r="F62" s="8">
        <f t="shared" si="6"/>
        <v>46</v>
      </c>
      <c r="G62">
        <f t="shared" si="1"/>
        <v>93</v>
      </c>
      <c r="K62">
        <f t="shared" si="8"/>
        <v>-135</v>
      </c>
      <c r="L62">
        <v>-135</v>
      </c>
    </row>
    <row r="63" spans="1:12" x14ac:dyDescent="0.2">
      <c r="A63" s="8">
        <f t="shared" si="2"/>
        <v>47</v>
      </c>
      <c r="B63" s="8">
        <f t="shared" si="3"/>
        <v>99</v>
      </c>
      <c r="C63" s="8" t="str">
        <f t="shared" si="0"/>
        <v>E</v>
      </c>
      <c r="D63" s="8">
        <f t="shared" si="4"/>
        <v>96</v>
      </c>
      <c r="E63" s="8">
        <f t="shared" si="5"/>
        <v>102</v>
      </c>
      <c r="F63" s="8">
        <f t="shared" si="6"/>
        <v>47</v>
      </c>
      <c r="G63">
        <f t="shared" si="1"/>
        <v>99</v>
      </c>
      <c r="K63">
        <f t="shared" si="8"/>
        <v>-134</v>
      </c>
      <c r="L63">
        <v>-135</v>
      </c>
    </row>
    <row r="64" spans="1:12" x14ac:dyDescent="0.2">
      <c r="A64" s="8">
        <f t="shared" si="2"/>
        <v>48</v>
      </c>
      <c r="B64" s="8">
        <f t="shared" si="3"/>
        <v>105</v>
      </c>
      <c r="C64" s="8" t="str">
        <f t="shared" si="0"/>
        <v>E</v>
      </c>
      <c r="D64" s="8">
        <f t="shared" si="4"/>
        <v>102</v>
      </c>
      <c r="E64" s="8">
        <f t="shared" si="5"/>
        <v>108</v>
      </c>
      <c r="F64" s="8">
        <f t="shared" si="6"/>
        <v>48</v>
      </c>
      <c r="G64">
        <f t="shared" si="1"/>
        <v>105</v>
      </c>
      <c r="K64">
        <f t="shared" si="8"/>
        <v>-133</v>
      </c>
      <c r="L64">
        <v>-135</v>
      </c>
    </row>
    <row r="65" spans="1:12" x14ac:dyDescent="0.2">
      <c r="A65" s="8">
        <f t="shared" si="2"/>
        <v>49</v>
      </c>
      <c r="B65" s="8">
        <f t="shared" si="3"/>
        <v>111</v>
      </c>
      <c r="C65" s="8" t="str">
        <f t="shared" si="0"/>
        <v>E</v>
      </c>
      <c r="D65" s="8">
        <f t="shared" si="4"/>
        <v>108</v>
      </c>
      <c r="E65" s="8">
        <f t="shared" si="5"/>
        <v>114</v>
      </c>
      <c r="F65" s="8">
        <f t="shared" si="6"/>
        <v>49</v>
      </c>
      <c r="G65">
        <f t="shared" si="1"/>
        <v>111</v>
      </c>
      <c r="K65">
        <f t="shared" si="8"/>
        <v>-132</v>
      </c>
      <c r="L65">
        <v>-129</v>
      </c>
    </row>
    <row r="66" spans="1:12" x14ac:dyDescent="0.2">
      <c r="A66" s="8">
        <f t="shared" si="2"/>
        <v>50</v>
      </c>
      <c r="B66" s="8">
        <f t="shared" si="3"/>
        <v>117</v>
      </c>
      <c r="C66" s="8" t="str">
        <f t="shared" si="0"/>
        <v>E</v>
      </c>
      <c r="D66" s="8">
        <f t="shared" si="4"/>
        <v>114</v>
      </c>
      <c r="E66" s="8">
        <f t="shared" si="5"/>
        <v>120</v>
      </c>
      <c r="F66" s="8">
        <f t="shared" si="6"/>
        <v>50</v>
      </c>
      <c r="G66">
        <f t="shared" si="1"/>
        <v>117</v>
      </c>
      <c r="K66">
        <f t="shared" si="8"/>
        <v>-131</v>
      </c>
      <c r="L66">
        <v>-129</v>
      </c>
    </row>
    <row r="67" spans="1:12" x14ac:dyDescent="0.2">
      <c r="A67" s="8">
        <f t="shared" si="2"/>
        <v>51</v>
      </c>
      <c r="B67" s="8">
        <f t="shared" si="3"/>
        <v>123</v>
      </c>
      <c r="C67" s="8" t="str">
        <f t="shared" si="0"/>
        <v>E</v>
      </c>
      <c r="D67" s="8">
        <f t="shared" si="4"/>
        <v>120</v>
      </c>
      <c r="E67" s="8">
        <f t="shared" si="5"/>
        <v>126</v>
      </c>
      <c r="F67" s="8">
        <f t="shared" si="6"/>
        <v>51</v>
      </c>
      <c r="G67">
        <f t="shared" si="1"/>
        <v>123</v>
      </c>
      <c r="K67">
        <f t="shared" si="8"/>
        <v>-130</v>
      </c>
      <c r="L67">
        <v>-129</v>
      </c>
    </row>
    <row r="68" spans="1:12" x14ac:dyDescent="0.2">
      <c r="A68" s="8">
        <f t="shared" si="2"/>
        <v>52</v>
      </c>
      <c r="B68" s="8">
        <f t="shared" si="3"/>
        <v>129</v>
      </c>
      <c r="C68" s="8" t="str">
        <f t="shared" si="0"/>
        <v>E</v>
      </c>
      <c r="D68" s="8">
        <f t="shared" si="4"/>
        <v>126</v>
      </c>
      <c r="E68" s="8">
        <f t="shared" si="5"/>
        <v>132</v>
      </c>
      <c r="F68" s="8">
        <f t="shared" si="6"/>
        <v>52</v>
      </c>
      <c r="G68">
        <f t="shared" si="1"/>
        <v>129</v>
      </c>
      <c r="K68">
        <f t="shared" si="8"/>
        <v>-129</v>
      </c>
      <c r="L68">
        <v>-129</v>
      </c>
    </row>
    <row r="69" spans="1:12" x14ac:dyDescent="0.2">
      <c r="A69" s="8">
        <f t="shared" si="2"/>
        <v>53</v>
      </c>
      <c r="B69" s="8">
        <f t="shared" si="3"/>
        <v>135</v>
      </c>
      <c r="C69" s="8" t="str">
        <f t="shared" si="0"/>
        <v>E</v>
      </c>
      <c r="D69" s="8">
        <f t="shared" si="4"/>
        <v>132</v>
      </c>
      <c r="E69" s="8">
        <f t="shared" si="5"/>
        <v>138</v>
      </c>
      <c r="F69" s="8">
        <f t="shared" si="6"/>
        <v>53</v>
      </c>
      <c r="G69">
        <f t="shared" si="1"/>
        <v>135</v>
      </c>
      <c r="K69">
        <f t="shared" si="8"/>
        <v>-128</v>
      </c>
      <c r="L69">
        <v>-129</v>
      </c>
    </row>
    <row r="70" spans="1:12" x14ac:dyDescent="0.2">
      <c r="A70" s="8">
        <f t="shared" si="2"/>
        <v>54</v>
      </c>
      <c r="B70" s="8">
        <f t="shared" si="3"/>
        <v>141</v>
      </c>
      <c r="C70" s="8" t="str">
        <f t="shared" si="0"/>
        <v>E</v>
      </c>
      <c r="D70" s="8">
        <f t="shared" si="4"/>
        <v>138</v>
      </c>
      <c r="E70" s="8">
        <f t="shared" si="5"/>
        <v>144</v>
      </c>
      <c r="F70" s="8">
        <f t="shared" si="6"/>
        <v>54</v>
      </c>
      <c r="G70">
        <f t="shared" si="1"/>
        <v>141</v>
      </c>
      <c r="K70">
        <f t="shared" si="8"/>
        <v>-127</v>
      </c>
      <c r="L70">
        <v>-129</v>
      </c>
    </row>
    <row r="71" spans="1:12" x14ac:dyDescent="0.2">
      <c r="A71" s="8">
        <f t="shared" si="2"/>
        <v>55</v>
      </c>
      <c r="B71" s="8">
        <f t="shared" si="3"/>
        <v>147</v>
      </c>
      <c r="C71" s="8" t="str">
        <f t="shared" si="0"/>
        <v>E</v>
      </c>
      <c r="D71" s="8">
        <f t="shared" si="4"/>
        <v>144</v>
      </c>
      <c r="E71" s="8">
        <f t="shared" si="5"/>
        <v>150</v>
      </c>
      <c r="F71" s="8">
        <f t="shared" si="6"/>
        <v>55</v>
      </c>
      <c r="G71">
        <f t="shared" si="1"/>
        <v>147</v>
      </c>
      <c r="K71">
        <f t="shared" si="8"/>
        <v>-126</v>
      </c>
      <c r="L71">
        <v>-123</v>
      </c>
    </row>
    <row r="72" spans="1:12" x14ac:dyDescent="0.2">
      <c r="A72" s="8">
        <f t="shared" si="2"/>
        <v>56</v>
      </c>
      <c r="B72" s="8">
        <f t="shared" si="3"/>
        <v>153</v>
      </c>
      <c r="C72" s="8" t="str">
        <f t="shared" si="0"/>
        <v>E</v>
      </c>
      <c r="D72" s="8">
        <f t="shared" si="4"/>
        <v>150</v>
      </c>
      <c r="E72" s="8">
        <f t="shared" si="5"/>
        <v>156</v>
      </c>
      <c r="F72" s="8">
        <f t="shared" si="6"/>
        <v>56</v>
      </c>
      <c r="G72">
        <f t="shared" si="1"/>
        <v>153</v>
      </c>
      <c r="K72">
        <f t="shared" si="8"/>
        <v>-125</v>
      </c>
      <c r="L72">
        <v>-123</v>
      </c>
    </row>
    <row r="73" spans="1:12" x14ac:dyDescent="0.2">
      <c r="A73" s="8">
        <f t="shared" si="2"/>
        <v>57</v>
      </c>
      <c r="B73" s="8">
        <f t="shared" si="3"/>
        <v>159</v>
      </c>
      <c r="C73" s="8" t="str">
        <f t="shared" si="0"/>
        <v>E</v>
      </c>
      <c r="D73" s="8">
        <f t="shared" si="4"/>
        <v>156</v>
      </c>
      <c r="E73" s="8">
        <f t="shared" si="5"/>
        <v>162</v>
      </c>
      <c r="F73" s="8">
        <f t="shared" si="6"/>
        <v>57</v>
      </c>
      <c r="G73">
        <f t="shared" si="1"/>
        <v>159</v>
      </c>
      <c r="K73">
        <f t="shared" si="8"/>
        <v>-124</v>
      </c>
      <c r="L73">
        <v>-123</v>
      </c>
    </row>
    <row r="74" spans="1:12" x14ac:dyDescent="0.2">
      <c r="A74" s="8">
        <f t="shared" si="2"/>
        <v>58</v>
      </c>
      <c r="B74" s="8">
        <f t="shared" si="3"/>
        <v>165</v>
      </c>
      <c r="C74" s="8" t="str">
        <f t="shared" si="0"/>
        <v>E</v>
      </c>
      <c r="D74" s="8">
        <f t="shared" si="4"/>
        <v>162</v>
      </c>
      <c r="E74" s="8">
        <f t="shared" si="5"/>
        <v>168</v>
      </c>
      <c r="F74" s="8">
        <f t="shared" si="6"/>
        <v>58</v>
      </c>
      <c r="G74">
        <f t="shared" si="1"/>
        <v>165</v>
      </c>
      <c r="K74">
        <f t="shared" si="8"/>
        <v>-123</v>
      </c>
      <c r="L74">
        <v>-123</v>
      </c>
    </row>
    <row r="75" spans="1:12" x14ac:dyDescent="0.2">
      <c r="A75" s="8">
        <f t="shared" si="2"/>
        <v>59</v>
      </c>
      <c r="B75" s="8">
        <f t="shared" si="3"/>
        <v>171</v>
      </c>
      <c r="C75" s="8" t="str">
        <f t="shared" si="0"/>
        <v>E</v>
      </c>
      <c r="D75" s="8">
        <f t="shared" si="4"/>
        <v>168</v>
      </c>
      <c r="E75" s="8">
        <f t="shared" si="5"/>
        <v>174</v>
      </c>
      <c r="F75" s="8">
        <f t="shared" si="6"/>
        <v>59</v>
      </c>
      <c r="G75">
        <f t="shared" si="1"/>
        <v>171</v>
      </c>
      <c r="K75">
        <f t="shared" si="8"/>
        <v>-122</v>
      </c>
      <c r="L75">
        <v>-123</v>
      </c>
    </row>
    <row r="76" spans="1:12" x14ac:dyDescent="0.2">
      <c r="A76" s="8">
        <f t="shared" si="2"/>
        <v>60</v>
      </c>
      <c r="B76" s="8">
        <f t="shared" si="3"/>
        <v>177</v>
      </c>
      <c r="C76" s="8" t="str">
        <f t="shared" si="0"/>
        <v>E</v>
      </c>
      <c r="D76" s="8">
        <f t="shared" si="4"/>
        <v>174</v>
      </c>
      <c r="E76" s="8">
        <f t="shared" si="5"/>
        <v>180</v>
      </c>
      <c r="F76" s="8">
        <f t="shared" si="6"/>
        <v>60</v>
      </c>
      <c r="G76">
        <f t="shared" si="1"/>
        <v>177</v>
      </c>
      <c r="K76">
        <f t="shared" si="8"/>
        <v>-121</v>
      </c>
      <c r="L76">
        <v>-123</v>
      </c>
    </row>
    <row r="77" spans="1:12" x14ac:dyDescent="0.2">
      <c r="A77" s="8"/>
      <c r="B77" s="8"/>
      <c r="C77" s="8"/>
      <c r="K77">
        <f t="shared" si="8"/>
        <v>-120</v>
      </c>
      <c r="L77">
        <v>-117</v>
      </c>
    </row>
    <row r="78" spans="1:12" x14ac:dyDescent="0.2">
      <c r="K78">
        <f t="shared" si="8"/>
        <v>-119</v>
      </c>
      <c r="L78">
        <v>-117</v>
      </c>
    </row>
    <row r="79" spans="1:12" x14ac:dyDescent="0.2">
      <c r="K79">
        <f t="shared" si="8"/>
        <v>-118</v>
      </c>
      <c r="L79">
        <v>-117</v>
      </c>
    </row>
    <row r="80" spans="1:12" x14ac:dyDescent="0.2">
      <c r="K80">
        <f t="shared" si="8"/>
        <v>-117</v>
      </c>
      <c r="L80">
        <v>-117</v>
      </c>
    </row>
    <row r="81" spans="11:12" x14ac:dyDescent="0.2">
      <c r="K81">
        <f t="shared" si="8"/>
        <v>-116</v>
      </c>
      <c r="L81">
        <v>-117</v>
      </c>
    </row>
    <row r="82" spans="11:12" x14ac:dyDescent="0.2">
      <c r="K82">
        <f t="shared" si="8"/>
        <v>-115</v>
      </c>
      <c r="L82">
        <v>-117</v>
      </c>
    </row>
    <row r="83" spans="11:12" x14ac:dyDescent="0.2">
      <c r="K83">
        <f t="shared" ref="K83:K146" si="9">K82+1</f>
        <v>-114</v>
      </c>
      <c r="L83">
        <v>-111</v>
      </c>
    </row>
    <row r="84" spans="11:12" x14ac:dyDescent="0.2">
      <c r="K84">
        <f t="shared" si="9"/>
        <v>-113</v>
      </c>
      <c r="L84">
        <v>-111</v>
      </c>
    </row>
    <row r="85" spans="11:12" x14ac:dyDescent="0.2">
      <c r="K85">
        <f t="shared" si="9"/>
        <v>-112</v>
      </c>
      <c r="L85">
        <v>-111</v>
      </c>
    </row>
    <row r="86" spans="11:12" x14ac:dyDescent="0.2">
      <c r="K86">
        <f t="shared" si="9"/>
        <v>-111</v>
      </c>
      <c r="L86">
        <v>-111</v>
      </c>
    </row>
    <row r="87" spans="11:12" x14ac:dyDescent="0.2">
      <c r="K87">
        <f t="shared" si="9"/>
        <v>-110</v>
      </c>
      <c r="L87">
        <v>-111</v>
      </c>
    </row>
    <row r="88" spans="11:12" x14ac:dyDescent="0.2">
      <c r="K88">
        <f t="shared" si="9"/>
        <v>-109</v>
      </c>
      <c r="L88">
        <v>-111</v>
      </c>
    </row>
    <row r="89" spans="11:12" x14ac:dyDescent="0.2">
      <c r="K89">
        <f t="shared" si="9"/>
        <v>-108</v>
      </c>
      <c r="L89">
        <v>-105</v>
      </c>
    </row>
    <row r="90" spans="11:12" x14ac:dyDescent="0.2">
      <c r="K90">
        <f t="shared" si="9"/>
        <v>-107</v>
      </c>
      <c r="L90">
        <v>-105</v>
      </c>
    </row>
    <row r="91" spans="11:12" x14ac:dyDescent="0.2">
      <c r="K91">
        <f t="shared" si="9"/>
        <v>-106</v>
      </c>
      <c r="L91">
        <v>-105</v>
      </c>
    </row>
    <row r="92" spans="11:12" x14ac:dyDescent="0.2">
      <c r="K92">
        <f t="shared" si="9"/>
        <v>-105</v>
      </c>
      <c r="L92">
        <v>-105</v>
      </c>
    </row>
    <row r="93" spans="11:12" x14ac:dyDescent="0.2">
      <c r="K93">
        <f t="shared" si="9"/>
        <v>-104</v>
      </c>
      <c r="L93">
        <v>-105</v>
      </c>
    </row>
    <row r="94" spans="11:12" x14ac:dyDescent="0.2">
      <c r="K94">
        <f t="shared" si="9"/>
        <v>-103</v>
      </c>
      <c r="L94">
        <v>-105</v>
      </c>
    </row>
    <row r="95" spans="11:12" x14ac:dyDescent="0.2">
      <c r="K95">
        <f t="shared" si="9"/>
        <v>-102</v>
      </c>
      <c r="L95">
        <v>-99</v>
      </c>
    </row>
    <row r="96" spans="11:12" x14ac:dyDescent="0.2">
      <c r="K96">
        <f t="shared" si="9"/>
        <v>-101</v>
      </c>
      <c r="L96">
        <v>-99</v>
      </c>
    </row>
    <row r="97" spans="11:12" x14ac:dyDescent="0.2">
      <c r="K97">
        <f t="shared" si="9"/>
        <v>-100</v>
      </c>
      <c r="L97">
        <v>-99</v>
      </c>
    </row>
    <row r="98" spans="11:12" x14ac:dyDescent="0.2">
      <c r="K98">
        <f t="shared" si="9"/>
        <v>-99</v>
      </c>
      <c r="L98">
        <v>-99</v>
      </c>
    </row>
    <row r="99" spans="11:12" x14ac:dyDescent="0.2">
      <c r="K99">
        <f t="shared" si="9"/>
        <v>-98</v>
      </c>
      <c r="L99">
        <v>-99</v>
      </c>
    </row>
    <row r="100" spans="11:12" x14ac:dyDescent="0.2">
      <c r="K100">
        <f t="shared" si="9"/>
        <v>-97</v>
      </c>
      <c r="L100">
        <v>-99</v>
      </c>
    </row>
    <row r="101" spans="11:12" x14ac:dyDescent="0.2">
      <c r="K101">
        <f t="shared" si="9"/>
        <v>-96</v>
      </c>
      <c r="L101">
        <v>-93</v>
      </c>
    </row>
    <row r="102" spans="11:12" x14ac:dyDescent="0.2">
      <c r="K102">
        <f t="shared" si="9"/>
        <v>-95</v>
      </c>
      <c r="L102">
        <v>-93</v>
      </c>
    </row>
    <row r="103" spans="11:12" x14ac:dyDescent="0.2">
      <c r="K103">
        <f t="shared" si="9"/>
        <v>-94</v>
      </c>
      <c r="L103">
        <v>-93</v>
      </c>
    </row>
    <row r="104" spans="11:12" x14ac:dyDescent="0.2">
      <c r="K104">
        <f t="shared" si="9"/>
        <v>-93</v>
      </c>
      <c r="L104">
        <v>-93</v>
      </c>
    </row>
    <row r="105" spans="11:12" x14ac:dyDescent="0.2">
      <c r="K105">
        <f t="shared" si="9"/>
        <v>-92</v>
      </c>
      <c r="L105">
        <v>-93</v>
      </c>
    </row>
    <row r="106" spans="11:12" x14ac:dyDescent="0.2">
      <c r="K106">
        <f t="shared" si="9"/>
        <v>-91</v>
      </c>
      <c r="L106">
        <v>-93</v>
      </c>
    </row>
    <row r="107" spans="11:12" x14ac:dyDescent="0.2">
      <c r="K107">
        <f t="shared" si="9"/>
        <v>-90</v>
      </c>
      <c r="L107">
        <v>-87</v>
      </c>
    </row>
    <row r="108" spans="11:12" x14ac:dyDescent="0.2">
      <c r="K108">
        <f t="shared" si="9"/>
        <v>-89</v>
      </c>
      <c r="L108">
        <v>-87</v>
      </c>
    </row>
    <row r="109" spans="11:12" x14ac:dyDescent="0.2">
      <c r="K109">
        <f t="shared" si="9"/>
        <v>-88</v>
      </c>
      <c r="L109">
        <v>-87</v>
      </c>
    </row>
    <row r="110" spans="11:12" x14ac:dyDescent="0.2">
      <c r="K110">
        <f t="shared" si="9"/>
        <v>-87</v>
      </c>
      <c r="L110">
        <v>-87</v>
      </c>
    </row>
    <row r="111" spans="11:12" x14ac:dyDescent="0.2">
      <c r="K111">
        <f t="shared" si="9"/>
        <v>-86</v>
      </c>
      <c r="L111">
        <v>-87</v>
      </c>
    </row>
    <row r="112" spans="11:12" x14ac:dyDescent="0.2">
      <c r="K112">
        <f t="shared" si="9"/>
        <v>-85</v>
      </c>
      <c r="L112">
        <v>-87</v>
      </c>
    </row>
    <row r="113" spans="11:12" x14ac:dyDescent="0.2">
      <c r="K113">
        <f t="shared" si="9"/>
        <v>-84</v>
      </c>
      <c r="L113">
        <v>-81</v>
      </c>
    </row>
    <row r="114" spans="11:12" x14ac:dyDescent="0.2">
      <c r="K114">
        <f t="shared" si="9"/>
        <v>-83</v>
      </c>
      <c r="L114">
        <v>-81</v>
      </c>
    </row>
    <row r="115" spans="11:12" x14ac:dyDescent="0.2">
      <c r="K115">
        <f t="shared" si="9"/>
        <v>-82</v>
      </c>
      <c r="L115">
        <v>-81</v>
      </c>
    </row>
    <row r="116" spans="11:12" x14ac:dyDescent="0.2">
      <c r="K116">
        <f t="shared" si="9"/>
        <v>-81</v>
      </c>
      <c r="L116">
        <v>-81</v>
      </c>
    </row>
    <row r="117" spans="11:12" x14ac:dyDescent="0.2">
      <c r="K117">
        <f t="shared" si="9"/>
        <v>-80</v>
      </c>
      <c r="L117">
        <v>-81</v>
      </c>
    </row>
    <row r="118" spans="11:12" x14ac:dyDescent="0.2">
      <c r="K118">
        <f t="shared" si="9"/>
        <v>-79</v>
      </c>
      <c r="L118">
        <v>-81</v>
      </c>
    </row>
    <row r="119" spans="11:12" x14ac:dyDescent="0.2">
      <c r="K119">
        <f t="shared" si="9"/>
        <v>-78</v>
      </c>
      <c r="L119">
        <v>-75</v>
      </c>
    </row>
    <row r="120" spans="11:12" x14ac:dyDescent="0.2">
      <c r="K120">
        <f t="shared" si="9"/>
        <v>-77</v>
      </c>
      <c r="L120">
        <v>-75</v>
      </c>
    </row>
    <row r="121" spans="11:12" x14ac:dyDescent="0.2">
      <c r="K121">
        <f t="shared" si="9"/>
        <v>-76</v>
      </c>
      <c r="L121">
        <v>-75</v>
      </c>
    </row>
    <row r="122" spans="11:12" x14ac:dyDescent="0.2">
      <c r="K122">
        <f t="shared" si="9"/>
        <v>-75</v>
      </c>
      <c r="L122">
        <v>-75</v>
      </c>
    </row>
    <row r="123" spans="11:12" x14ac:dyDescent="0.2">
      <c r="K123">
        <f t="shared" si="9"/>
        <v>-74</v>
      </c>
      <c r="L123">
        <v>-75</v>
      </c>
    </row>
    <row r="124" spans="11:12" x14ac:dyDescent="0.2">
      <c r="K124">
        <f t="shared" si="9"/>
        <v>-73</v>
      </c>
      <c r="L124">
        <v>-75</v>
      </c>
    </row>
    <row r="125" spans="11:12" x14ac:dyDescent="0.2">
      <c r="K125">
        <f t="shared" si="9"/>
        <v>-72</v>
      </c>
      <c r="L125">
        <v>-69</v>
      </c>
    </row>
    <row r="126" spans="11:12" x14ac:dyDescent="0.2">
      <c r="K126">
        <f t="shared" si="9"/>
        <v>-71</v>
      </c>
      <c r="L126">
        <v>-69</v>
      </c>
    </row>
    <row r="127" spans="11:12" x14ac:dyDescent="0.2">
      <c r="K127">
        <f t="shared" si="9"/>
        <v>-70</v>
      </c>
      <c r="L127">
        <v>-69</v>
      </c>
    </row>
    <row r="128" spans="11:12" x14ac:dyDescent="0.2">
      <c r="K128">
        <f t="shared" si="9"/>
        <v>-69</v>
      </c>
      <c r="L128">
        <v>-69</v>
      </c>
    </row>
    <row r="129" spans="11:12" x14ac:dyDescent="0.2">
      <c r="K129">
        <f t="shared" si="9"/>
        <v>-68</v>
      </c>
      <c r="L129">
        <v>-69</v>
      </c>
    </row>
    <row r="130" spans="11:12" x14ac:dyDescent="0.2">
      <c r="K130">
        <f t="shared" si="9"/>
        <v>-67</v>
      </c>
      <c r="L130">
        <v>-69</v>
      </c>
    </row>
    <row r="131" spans="11:12" x14ac:dyDescent="0.2">
      <c r="K131">
        <f t="shared" si="9"/>
        <v>-66</v>
      </c>
      <c r="L131">
        <v>-63</v>
      </c>
    </row>
    <row r="132" spans="11:12" x14ac:dyDescent="0.2">
      <c r="K132">
        <f t="shared" si="9"/>
        <v>-65</v>
      </c>
      <c r="L132">
        <v>-63</v>
      </c>
    </row>
    <row r="133" spans="11:12" x14ac:dyDescent="0.2">
      <c r="K133">
        <f t="shared" si="9"/>
        <v>-64</v>
      </c>
      <c r="L133">
        <v>-63</v>
      </c>
    </row>
    <row r="134" spans="11:12" x14ac:dyDescent="0.2">
      <c r="K134">
        <f t="shared" si="9"/>
        <v>-63</v>
      </c>
      <c r="L134">
        <v>-63</v>
      </c>
    </row>
    <row r="135" spans="11:12" x14ac:dyDescent="0.2">
      <c r="K135">
        <f t="shared" si="9"/>
        <v>-62</v>
      </c>
      <c r="L135">
        <v>-63</v>
      </c>
    </row>
    <row r="136" spans="11:12" x14ac:dyDescent="0.2">
      <c r="K136">
        <f t="shared" si="9"/>
        <v>-61</v>
      </c>
      <c r="L136">
        <v>-63</v>
      </c>
    </row>
    <row r="137" spans="11:12" x14ac:dyDescent="0.2">
      <c r="K137">
        <f t="shared" si="9"/>
        <v>-60</v>
      </c>
      <c r="L137">
        <v>-57</v>
      </c>
    </row>
    <row r="138" spans="11:12" x14ac:dyDescent="0.2">
      <c r="K138">
        <f t="shared" si="9"/>
        <v>-59</v>
      </c>
      <c r="L138">
        <v>-57</v>
      </c>
    </row>
    <row r="139" spans="11:12" x14ac:dyDescent="0.2">
      <c r="K139">
        <f t="shared" si="9"/>
        <v>-58</v>
      </c>
      <c r="L139">
        <v>-57</v>
      </c>
    </row>
    <row r="140" spans="11:12" x14ac:dyDescent="0.2">
      <c r="K140">
        <f t="shared" si="9"/>
        <v>-57</v>
      </c>
      <c r="L140">
        <v>-57</v>
      </c>
    </row>
    <row r="141" spans="11:12" x14ac:dyDescent="0.2">
      <c r="K141">
        <f t="shared" si="9"/>
        <v>-56</v>
      </c>
      <c r="L141">
        <v>-57</v>
      </c>
    </row>
    <row r="142" spans="11:12" x14ac:dyDescent="0.2">
      <c r="K142">
        <f t="shared" si="9"/>
        <v>-55</v>
      </c>
      <c r="L142">
        <v>-57</v>
      </c>
    </row>
    <row r="143" spans="11:12" x14ac:dyDescent="0.2">
      <c r="K143">
        <f t="shared" si="9"/>
        <v>-54</v>
      </c>
      <c r="L143">
        <v>-51</v>
      </c>
    </row>
    <row r="144" spans="11:12" x14ac:dyDescent="0.2">
      <c r="K144">
        <f t="shared" si="9"/>
        <v>-53</v>
      </c>
      <c r="L144">
        <v>-51</v>
      </c>
    </row>
    <row r="145" spans="11:12" x14ac:dyDescent="0.2">
      <c r="K145">
        <f t="shared" si="9"/>
        <v>-52</v>
      </c>
      <c r="L145">
        <v>-51</v>
      </c>
    </row>
    <row r="146" spans="11:12" x14ac:dyDescent="0.2">
      <c r="K146">
        <f t="shared" si="9"/>
        <v>-51</v>
      </c>
      <c r="L146">
        <v>-51</v>
      </c>
    </row>
    <row r="147" spans="11:12" x14ac:dyDescent="0.2">
      <c r="K147">
        <f t="shared" ref="K147:K210" si="10">K146+1</f>
        <v>-50</v>
      </c>
      <c r="L147">
        <v>-51</v>
      </c>
    </row>
    <row r="148" spans="11:12" x14ac:dyDescent="0.2">
      <c r="K148">
        <f t="shared" si="10"/>
        <v>-49</v>
      </c>
      <c r="L148">
        <v>-51</v>
      </c>
    </row>
    <row r="149" spans="11:12" x14ac:dyDescent="0.2">
      <c r="K149">
        <f t="shared" si="10"/>
        <v>-48</v>
      </c>
      <c r="L149">
        <v>-45</v>
      </c>
    </row>
    <row r="150" spans="11:12" x14ac:dyDescent="0.2">
      <c r="K150">
        <f t="shared" si="10"/>
        <v>-47</v>
      </c>
      <c r="L150">
        <v>-45</v>
      </c>
    </row>
    <row r="151" spans="11:12" x14ac:dyDescent="0.2">
      <c r="K151">
        <f t="shared" si="10"/>
        <v>-46</v>
      </c>
      <c r="L151">
        <v>-45</v>
      </c>
    </row>
    <row r="152" spans="11:12" x14ac:dyDescent="0.2">
      <c r="K152">
        <f t="shared" si="10"/>
        <v>-45</v>
      </c>
      <c r="L152">
        <v>-45</v>
      </c>
    </row>
    <row r="153" spans="11:12" x14ac:dyDescent="0.2">
      <c r="K153">
        <f t="shared" si="10"/>
        <v>-44</v>
      </c>
      <c r="L153">
        <v>-45</v>
      </c>
    </row>
    <row r="154" spans="11:12" x14ac:dyDescent="0.2">
      <c r="K154">
        <f t="shared" si="10"/>
        <v>-43</v>
      </c>
      <c r="L154">
        <v>-45</v>
      </c>
    </row>
    <row r="155" spans="11:12" x14ac:dyDescent="0.2">
      <c r="K155">
        <f t="shared" si="10"/>
        <v>-42</v>
      </c>
      <c r="L155">
        <v>-39</v>
      </c>
    </row>
    <row r="156" spans="11:12" x14ac:dyDescent="0.2">
      <c r="K156">
        <f t="shared" si="10"/>
        <v>-41</v>
      </c>
      <c r="L156">
        <v>-39</v>
      </c>
    </row>
    <row r="157" spans="11:12" x14ac:dyDescent="0.2">
      <c r="K157">
        <f t="shared" si="10"/>
        <v>-40</v>
      </c>
      <c r="L157">
        <v>-39</v>
      </c>
    </row>
    <row r="158" spans="11:12" x14ac:dyDescent="0.2">
      <c r="K158">
        <f t="shared" si="10"/>
        <v>-39</v>
      </c>
      <c r="L158">
        <v>-39</v>
      </c>
    </row>
    <row r="159" spans="11:12" x14ac:dyDescent="0.2">
      <c r="K159">
        <f t="shared" si="10"/>
        <v>-38</v>
      </c>
      <c r="L159">
        <v>-39</v>
      </c>
    </row>
    <row r="160" spans="11:12" x14ac:dyDescent="0.2">
      <c r="K160">
        <f t="shared" si="10"/>
        <v>-37</v>
      </c>
      <c r="L160">
        <v>-39</v>
      </c>
    </row>
    <row r="161" spans="11:12" x14ac:dyDescent="0.2">
      <c r="K161">
        <f t="shared" si="10"/>
        <v>-36</v>
      </c>
      <c r="L161">
        <v>-33</v>
      </c>
    </row>
    <row r="162" spans="11:12" x14ac:dyDescent="0.2">
      <c r="K162">
        <f t="shared" si="10"/>
        <v>-35</v>
      </c>
      <c r="L162">
        <v>-33</v>
      </c>
    </row>
    <row r="163" spans="11:12" x14ac:dyDescent="0.2">
      <c r="K163">
        <f t="shared" si="10"/>
        <v>-34</v>
      </c>
      <c r="L163">
        <v>-33</v>
      </c>
    </row>
    <row r="164" spans="11:12" x14ac:dyDescent="0.2">
      <c r="K164">
        <f t="shared" si="10"/>
        <v>-33</v>
      </c>
      <c r="L164">
        <v>-33</v>
      </c>
    </row>
    <row r="165" spans="11:12" x14ac:dyDescent="0.2">
      <c r="K165">
        <f t="shared" si="10"/>
        <v>-32</v>
      </c>
      <c r="L165">
        <v>-33</v>
      </c>
    </row>
    <row r="166" spans="11:12" x14ac:dyDescent="0.2">
      <c r="K166">
        <f t="shared" si="10"/>
        <v>-31</v>
      </c>
      <c r="L166">
        <v>-33</v>
      </c>
    </row>
    <row r="167" spans="11:12" x14ac:dyDescent="0.2">
      <c r="K167">
        <f t="shared" si="10"/>
        <v>-30</v>
      </c>
      <c r="L167">
        <v>-27</v>
      </c>
    </row>
    <row r="168" spans="11:12" x14ac:dyDescent="0.2">
      <c r="K168">
        <f t="shared" si="10"/>
        <v>-29</v>
      </c>
      <c r="L168">
        <v>-27</v>
      </c>
    </row>
    <row r="169" spans="11:12" x14ac:dyDescent="0.2">
      <c r="K169">
        <f t="shared" si="10"/>
        <v>-28</v>
      </c>
      <c r="L169">
        <v>-27</v>
      </c>
    </row>
    <row r="170" spans="11:12" x14ac:dyDescent="0.2">
      <c r="K170">
        <f t="shared" si="10"/>
        <v>-27</v>
      </c>
      <c r="L170">
        <v>-27</v>
      </c>
    </row>
    <row r="171" spans="11:12" x14ac:dyDescent="0.2">
      <c r="K171">
        <f t="shared" si="10"/>
        <v>-26</v>
      </c>
      <c r="L171">
        <v>-27</v>
      </c>
    </row>
    <row r="172" spans="11:12" x14ac:dyDescent="0.2">
      <c r="K172">
        <f t="shared" si="10"/>
        <v>-25</v>
      </c>
      <c r="L172">
        <v>-27</v>
      </c>
    </row>
    <row r="173" spans="11:12" x14ac:dyDescent="0.2">
      <c r="K173">
        <f t="shared" si="10"/>
        <v>-24</v>
      </c>
      <c r="L173">
        <v>-21</v>
      </c>
    </row>
    <row r="174" spans="11:12" x14ac:dyDescent="0.2">
      <c r="K174">
        <f t="shared" si="10"/>
        <v>-23</v>
      </c>
      <c r="L174">
        <v>-21</v>
      </c>
    </row>
    <row r="175" spans="11:12" x14ac:dyDescent="0.2">
      <c r="K175">
        <f t="shared" si="10"/>
        <v>-22</v>
      </c>
      <c r="L175">
        <v>-21</v>
      </c>
    </row>
    <row r="176" spans="11:12" x14ac:dyDescent="0.2">
      <c r="K176">
        <f t="shared" si="10"/>
        <v>-21</v>
      </c>
      <c r="L176">
        <v>-21</v>
      </c>
    </row>
    <row r="177" spans="11:12" x14ac:dyDescent="0.2">
      <c r="K177">
        <f t="shared" si="10"/>
        <v>-20</v>
      </c>
      <c r="L177">
        <v>-21</v>
      </c>
    </row>
    <row r="178" spans="11:12" x14ac:dyDescent="0.2">
      <c r="K178">
        <f t="shared" si="10"/>
        <v>-19</v>
      </c>
      <c r="L178">
        <v>-21</v>
      </c>
    </row>
    <row r="179" spans="11:12" x14ac:dyDescent="0.2">
      <c r="K179">
        <f t="shared" si="10"/>
        <v>-18</v>
      </c>
      <c r="L179">
        <v>-15</v>
      </c>
    </row>
    <row r="180" spans="11:12" x14ac:dyDescent="0.2">
      <c r="K180">
        <f t="shared" si="10"/>
        <v>-17</v>
      </c>
      <c r="L180">
        <v>-15</v>
      </c>
    </row>
    <row r="181" spans="11:12" x14ac:dyDescent="0.2">
      <c r="K181">
        <f t="shared" si="10"/>
        <v>-16</v>
      </c>
      <c r="L181">
        <v>-15</v>
      </c>
    </row>
    <row r="182" spans="11:12" x14ac:dyDescent="0.2">
      <c r="K182">
        <f t="shared" si="10"/>
        <v>-15</v>
      </c>
      <c r="L182">
        <v>-15</v>
      </c>
    </row>
    <row r="183" spans="11:12" x14ac:dyDescent="0.2">
      <c r="K183">
        <f t="shared" si="10"/>
        <v>-14</v>
      </c>
      <c r="L183">
        <v>-15</v>
      </c>
    </row>
    <row r="184" spans="11:12" x14ac:dyDescent="0.2">
      <c r="K184">
        <f t="shared" si="10"/>
        <v>-13</v>
      </c>
      <c r="L184">
        <v>-15</v>
      </c>
    </row>
    <row r="185" spans="11:12" x14ac:dyDescent="0.2">
      <c r="K185">
        <f t="shared" si="10"/>
        <v>-12</v>
      </c>
      <c r="L185">
        <v>-9</v>
      </c>
    </row>
    <row r="186" spans="11:12" x14ac:dyDescent="0.2">
      <c r="K186">
        <f t="shared" si="10"/>
        <v>-11</v>
      </c>
      <c r="L186">
        <v>-9</v>
      </c>
    </row>
    <row r="187" spans="11:12" x14ac:dyDescent="0.2">
      <c r="K187">
        <f t="shared" si="10"/>
        <v>-10</v>
      </c>
      <c r="L187">
        <v>-9</v>
      </c>
    </row>
    <row r="188" spans="11:12" x14ac:dyDescent="0.2">
      <c r="K188">
        <f t="shared" si="10"/>
        <v>-9</v>
      </c>
      <c r="L188">
        <v>-9</v>
      </c>
    </row>
    <row r="189" spans="11:12" x14ac:dyDescent="0.2">
      <c r="K189">
        <f t="shared" si="10"/>
        <v>-8</v>
      </c>
      <c r="L189">
        <v>-9</v>
      </c>
    </row>
    <row r="190" spans="11:12" x14ac:dyDescent="0.2">
      <c r="K190">
        <f t="shared" si="10"/>
        <v>-7</v>
      </c>
      <c r="L190">
        <v>-9</v>
      </c>
    </row>
    <row r="191" spans="11:12" x14ac:dyDescent="0.2">
      <c r="K191">
        <f t="shared" si="10"/>
        <v>-6</v>
      </c>
      <c r="L191">
        <v>-3</v>
      </c>
    </row>
    <row r="192" spans="11:12" x14ac:dyDescent="0.2">
      <c r="K192">
        <f t="shared" si="10"/>
        <v>-5</v>
      </c>
      <c r="L192">
        <v>-3</v>
      </c>
    </row>
    <row r="193" spans="11:12" x14ac:dyDescent="0.2">
      <c r="K193">
        <f t="shared" si="10"/>
        <v>-4</v>
      </c>
      <c r="L193">
        <v>-3</v>
      </c>
    </row>
    <row r="194" spans="11:12" x14ac:dyDescent="0.2">
      <c r="K194">
        <f t="shared" si="10"/>
        <v>-3</v>
      </c>
      <c r="L194">
        <v>-3</v>
      </c>
    </row>
    <row r="195" spans="11:12" x14ac:dyDescent="0.2">
      <c r="K195">
        <f t="shared" si="10"/>
        <v>-2</v>
      </c>
      <c r="L195">
        <v>-3</v>
      </c>
    </row>
    <row r="196" spans="11:12" x14ac:dyDescent="0.2">
      <c r="K196">
        <f t="shared" si="10"/>
        <v>-1</v>
      </c>
      <c r="L196">
        <v>-3</v>
      </c>
    </row>
    <row r="197" spans="11:12" x14ac:dyDescent="0.2">
      <c r="K197">
        <f t="shared" si="10"/>
        <v>0</v>
      </c>
      <c r="L197">
        <v>3</v>
      </c>
    </row>
    <row r="198" spans="11:12" x14ac:dyDescent="0.2">
      <c r="K198">
        <f t="shared" si="10"/>
        <v>1</v>
      </c>
      <c r="L198">
        <v>3</v>
      </c>
    </row>
    <row r="199" spans="11:12" x14ac:dyDescent="0.2">
      <c r="K199">
        <f t="shared" si="10"/>
        <v>2</v>
      </c>
      <c r="L199">
        <v>3</v>
      </c>
    </row>
    <row r="200" spans="11:12" x14ac:dyDescent="0.2">
      <c r="K200">
        <f t="shared" si="10"/>
        <v>3</v>
      </c>
      <c r="L200">
        <v>3</v>
      </c>
    </row>
    <row r="201" spans="11:12" x14ac:dyDescent="0.2">
      <c r="K201">
        <f t="shared" si="10"/>
        <v>4</v>
      </c>
      <c r="L201">
        <v>3</v>
      </c>
    </row>
    <row r="202" spans="11:12" x14ac:dyDescent="0.2">
      <c r="K202">
        <f t="shared" si="10"/>
        <v>5</v>
      </c>
      <c r="L202">
        <v>3</v>
      </c>
    </row>
    <row r="203" spans="11:12" x14ac:dyDescent="0.2">
      <c r="K203">
        <f t="shared" si="10"/>
        <v>6</v>
      </c>
      <c r="L203">
        <v>9</v>
      </c>
    </row>
    <row r="204" spans="11:12" x14ac:dyDescent="0.2">
      <c r="K204">
        <f t="shared" si="10"/>
        <v>7</v>
      </c>
      <c r="L204">
        <v>9</v>
      </c>
    </row>
    <row r="205" spans="11:12" x14ac:dyDescent="0.2">
      <c r="K205">
        <f t="shared" si="10"/>
        <v>8</v>
      </c>
      <c r="L205">
        <v>9</v>
      </c>
    </row>
    <row r="206" spans="11:12" x14ac:dyDescent="0.2">
      <c r="K206">
        <f t="shared" si="10"/>
        <v>9</v>
      </c>
      <c r="L206">
        <v>9</v>
      </c>
    </row>
    <row r="207" spans="11:12" x14ac:dyDescent="0.2">
      <c r="K207">
        <f t="shared" si="10"/>
        <v>10</v>
      </c>
      <c r="L207">
        <v>9</v>
      </c>
    </row>
    <row r="208" spans="11:12" x14ac:dyDescent="0.2">
      <c r="K208">
        <f t="shared" si="10"/>
        <v>11</v>
      </c>
      <c r="L208">
        <v>9</v>
      </c>
    </row>
    <row r="209" spans="11:12" x14ac:dyDescent="0.2">
      <c r="K209">
        <f t="shared" si="10"/>
        <v>12</v>
      </c>
      <c r="L209">
        <v>15</v>
      </c>
    </row>
    <row r="210" spans="11:12" x14ac:dyDescent="0.2">
      <c r="K210">
        <f t="shared" si="10"/>
        <v>13</v>
      </c>
      <c r="L210">
        <v>15</v>
      </c>
    </row>
    <row r="211" spans="11:12" x14ac:dyDescent="0.2">
      <c r="K211">
        <f t="shared" ref="K211:K274" si="11">K210+1</f>
        <v>14</v>
      </c>
      <c r="L211">
        <v>15</v>
      </c>
    </row>
    <row r="212" spans="11:12" x14ac:dyDescent="0.2">
      <c r="K212">
        <f t="shared" si="11"/>
        <v>15</v>
      </c>
      <c r="L212">
        <v>15</v>
      </c>
    </row>
    <row r="213" spans="11:12" x14ac:dyDescent="0.2">
      <c r="K213">
        <f t="shared" si="11"/>
        <v>16</v>
      </c>
      <c r="L213">
        <v>15</v>
      </c>
    </row>
    <row r="214" spans="11:12" x14ac:dyDescent="0.2">
      <c r="K214">
        <f t="shared" si="11"/>
        <v>17</v>
      </c>
      <c r="L214">
        <v>15</v>
      </c>
    </row>
    <row r="215" spans="11:12" x14ac:dyDescent="0.2">
      <c r="K215">
        <f t="shared" si="11"/>
        <v>18</v>
      </c>
      <c r="L215">
        <v>21</v>
      </c>
    </row>
    <row r="216" spans="11:12" x14ac:dyDescent="0.2">
      <c r="K216">
        <f t="shared" si="11"/>
        <v>19</v>
      </c>
      <c r="L216">
        <v>21</v>
      </c>
    </row>
    <row r="217" spans="11:12" x14ac:dyDescent="0.2">
      <c r="K217">
        <f t="shared" si="11"/>
        <v>20</v>
      </c>
      <c r="L217">
        <v>21</v>
      </c>
    </row>
    <row r="218" spans="11:12" x14ac:dyDescent="0.2">
      <c r="K218">
        <f t="shared" si="11"/>
        <v>21</v>
      </c>
      <c r="L218">
        <v>21</v>
      </c>
    </row>
    <row r="219" spans="11:12" x14ac:dyDescent="0.2">
      <c r="K219">
        <f t="shared" si="11"/>
        <v>22</v>
      </c>
      <c r="L219">
        <v>21</v>
      </c>
    </row>
    <row r="220" spans="11:12" x14ac:dyDescent="0.2">
      <c r="K220">
        <f t="shared" si="11"/>
        <v>23</v>
      </c>
      <c r="L220">
        <v>21</v>
      </c>
    </row>
    <row r="221" spans="11:12" x14ac:dyDescent="0.2">
      <c r="K221">
        <f t="shared" si="11"/>
        <v>24</v>
      </c>
      <c r="L221">
        <v>27</v>
      </c>
    </row>
    <row r="222" spans="11:12" x14ac:dyDescent="0.2">
      <c r="K222">
        <f t="shared" si="11"/>
        <v>25</v>
      </c>
      <c r="L222">
        <v>27</v>
      </c>
    </row>
    <row r="223" spans="11:12" x14ac:dyDescent="0.2">
      <c r="K223">
        <f t="shared" si="11"/>
        <v>26</v>
      </c>
      <c r="L223">
        <v>27</v>
      </c>
    </row>
    <row r="224" spans="11:12" x14ac:dyDescent="0.2">
      <c r="K224">
        <f t="shared" si="11"/>
        <v>27</v>
      </c>
      <c r="L224">
        <v>27</v>
      </c>
    </row>
    <row r="225" spans="11:12" x14ac:dyDescent="0.2">
      <c r="K225">
        <f t="shared" si="11"/>
        <v>28</v>
      </c>
      <c r="L225">
        <v>27</v>
      </c>
    </row>
    <row r="226" spans="11:12" x14ac:dyDescent="0.2">
      <c r="K226">
        <f t="shared" si="11"/>
        <v>29</v>
      </c>
      <c r="L226">
        <v>27</v>
      </c>
    </row>
    <row r="227" spans="11:12" x14ac:dyDescent="0.2">
      <c r="K227">
        <f t="shared" si="11"/>
        <v>30</v>
      </c>
      <c r="L227">
        <v>33</v>
      </c>
    </row>
    <row r="228" spans="11:12" x14ac:dyDescent="0.2">
      <c r="K228">
        <f t="shared" si="11"/>
        <v>31</v>
      </c>
      <c r="L228">
        <v>33</v>
      </c>
    </row>
    <row r="229" spans="11:12" x14ac:dyDescent="0.2">
      <c r="K229">
        <f t="shared" si="11"/>
        <v>32</v>
      </c>
      <c r="L229">
        <v>33</v>
      </c>
    </row>
    <row r="230" spans="11:12" x14ac:dyDescent="0.2">
      <c r="K230">
        <f t="shared" si="11"/>
        <v>33</v>
      </c>
      <c r="L230">
        <v>33</v>
      </c>
    </row>
    <row r="231" spans="11:12" x14ac:dyDescent="0.2">
      <c r="K231">
        <f t="shared" si="11"/>
        <v>34</v>
      </c>
      <c r="L231">
        <v>33</v>
      </c>
    </row>
    <row r="232" spans="11:12" x14ac:dyDescent="0.2">
      <c r="K232">
        <f t="shared" si="11"/>
        <v>35</v>
      </c>
      <c r="L232">
        <v>33</v>
      </c>
    </row>
    <row r="233" spans="11:12" x14ac:dyDescent="0.2">
      <c r="K233">
        <f t="shared" si="11"/>
        <v>36</v>
      </c>
      <c r="L233">
        <v>39</v>
      </c>
    </row>
    <row r="234" spans="11:12" x14ac:dyDescent="0.2">
      <c r="K234">
        <f t="shared" si="11"/>
        <v>37</v>
      </c>
      <c r="L234">
        <v>39</v>
      </c>
    </row>
    <row r="235" spans="11:12" x14ac:dyDescent="0.2">
      <c r="K235">
        <f t="shared" si="11"/>
        <v>38</v>
      </c>
      <c r="L235">
        <v>39</v>
      </c>
    </row>
    <row r="236" spans="11:12" x14ac:dyDescent="0.2">
      <c r="K236">
        <f t="shared" si="11"/>
        <v>39</v>
      </c>
      <c r="L236">
        <v>39</v>
      </c>
    </row>
    <row r="237" spans="11:12" x14ac:dyDescent="0.2">
      <c r="K237">
        <f t="shared" si="11"/>
        <v>40</v>
      </c>
      <c r="L237">
        <v>39</v>
      </c>
    </row>
    <row r="238" spans="11:12" x14ac:dyDescent="0.2">
      <c r="K238">
        <f t="shared" si="11"/>
        <v>41</v>
      </c>
      <c r="L238">
        <v>39</v>
      </c>
    </row>
    <row r="239" spans="11:12" x14ac:dyDescent="0.2">
      <c r="K239">
        <f t="shared" si="11"/>
        <v>42</v>
      </c>
      <c r="L239">
        <v>45</v>
      </c>
    </row>
    <row r="240" spans="11:12" x14ac:dyDescent="0.2">
      <c r="K240">
        <f t="shared" si="11"/>
        <v>43</v>
      </c>
      <c r="L240">
        <v>45</v>
      </c>
    </row>
    <row r="241" spans="11:12" x14ac:dyDescent="0.2">
      <c r="K241">
        <f t="shared" si="11"/>
        <v>44</v>
      </c>
      <c r="L241">
        <v>45</v>
      </c>
    </row>
    <row r="242" spans="11:12" x14ac:dyDescent="0.2">
      <c r="K242">
        <f t="shared" si="11"/>
        <v>45</v>
      </c>
      <c r="L242">
        <v>45</v>
      </c>
    </row>
    <row r="243" spans="11:12" x14ac:dyDescent="0.2">
      <c r="K243">
        <f t="shared" si="11"/>
        <v>46</v>
      </c>
      <c r="L243">
        <v>45</v>
      </c>
    </row>
    <row r="244" spans="11:12" x14ac:dyDescent="0.2">
      <c r="K244">
        <f t="shared" si="11"/>
        <v>47</v>
      </c>
      <c r="L244">
        <v>45</v>
      </c>
    </row>
    <row r="245" spans="11:12" x14ac:dyDescent="0.2">
      <c r="K245">
        <f t="shared" si="11"/>
        <v>48</v>
      </c>
      <c r="L245">
        <v>51</v>
      </c>
    </row>
    <row r="246" spans="11:12" x14ac:dyDescent="0.2">
      <c r="K246">
        <f t="shared" si="11"/>
        <v>49</v>
      </c>
      <c r="L246">
        <v>51</v>
      </c>
    </row>
    <row r="247" spans="11:12" x14ac:dyDescent="0.2">
      <c r="K247">
        <f t="shared" si="11"/>
        <v>50</v>
      </c>
      <c r="L247">
        <v>51</v>
      </c>
    </row>
    <row r="248" spans="11:12" x14ac:dyDescent="0.2">
      <c r="K248">
        <f t="shared" si="11"/>
        <v>51</v>
      </c>
      <c r="L248">
        <v>51</v>
      </c>
    </row>
    <row r="249" spans="11:12" x14ac:dyDescent="0.2">
      <c r="K249">
        <f t="shared" si="11"/>
        <v>52</v>
      </c>
      <c r="L249">
        <v>51</v>
      </c>
    </row>
    <row r="250" spans="11:12" x14ac:dyDescent="0.2">
      <c r="K250">
        <f t="shared" si="11"/>
        <v>53</v>
      </c>
      <c r="L250">
        <v>51</v>
      </c>
    </row>
    <row r="251" spans="11:12" x14ac:dyDescent="0.2">
      <c r="K251">
        <f t="shared" si="11"/>
        <v>54</v>
      </c>
      <c r="L251">
        <v>57</v>
      </c>
    </row>
    <row r="252" spans="11:12" x14ac:dyDescent="0.2">
      <c r="K252">
        <f t="shared" si="11"/>
        <v>55</v>
      </c>
      <c r="L252">
        <v>57</v>
      </c>
    </row>
    <row r="253" spans="11:12" x14ac:dyDescent="0.2">
      <c r="K253">
        <f t="shared" si="11"/>
        <v>56</v>
      </c>
      <c r="L253">
        <v>57</v>
      </c>
    </row>
    <row r="254" spans="11:12" x14ac:dyDescent="0.2">
      <c r="K254">
        <f t="shared" si="11"/>
        <v>57</v>
      </c>
      <c r="L254">
        <v>57</v>
      </c>
    </row>
    <row r="255" spans="11:12" x14ac:dyDescent="0.2">
      <c r="K255">
        <f t="shared" si="11"/>
        <v>58</v>
      </c>
      <c r="L255">
        <v>57</v>
      </c>
    </row>
    <row r="256" spans="11:12" x14ac:dyDescent="0.2">
      <c r="K256">
        <f t="shared" si="11"/>
        <v>59</v>
      </c>
      <c r="L256">
        <v>57</v>
      </c>
    </row>
    <row r="257" spans="11:12" x14ac:dyDescent="0.2">
      <c r="K257">
        <f t="shared" si="11"/>
        <v>60</v>
      </c>
      <c r="L257">
        <v>63</v>
      </c>
    </row>
    <row r="258" spans="11:12" x14ac:dyDescent="0.2">
      <c r="K258">
        <f t="shared" si="11"/>
        <v>61</v>
      </c>
      <c r="L258">
        <v>63</v>
      </c>
    </row>
    <row r="259" spans="11:12" x14ac:dyDescent="0.2">
      <c r="K259">
        <f t="shared" si="11"/>
        <v>62</v>
      </c>
      <c r="L259">
        <v>63</v>
      </c>
    </row>
    <row r="260" spans="11:12" x14ac:dyDescent="0.2">
      <c r="K260">
        <f t="shared" si="11"/>
        <v>63</v>
      </c>
      <c r="L260">
        <v>63</v>
      </c>
    </row>
    <row r="261" spans="11:12" x14ac:dyDescent="0.2">
      <c r="K261">
        <f t="shared" si="11"/>
        <v>64</v>
      </c>
      <c r="L261">
        <v>63</v>
      </c>
    </row>
    <row r="262" spans="11:12" x14ac:dyDescent="0.2">
      <c r="K262">
        <f t="shared" si="11"/>
        <v>65</v>
      </c>
      <c r="L262">
        <v>63</v>
      </c>
    </row>
    <row r="263" spans="11:12" x14ac:dyDescent="0.2">
      <c r="K263">
        <f t="shared" si="11"/>
        <v>66</v>
      </c>
      <c r="L263">
        <v>69</v>
      </c>
    </row>
    <row r="264" spans="11:12" x14ac:dyDescent="0.2">
      <c r="K264">
        <f t="shared" si="11"/>
        <v>67</v>
      </c>
      <c r="L264">
        <v>69</v>
      </c>
    </row>
    <row r="265" spans="11:12" x14ac:dyDescent="0.2">
      <c r="K265">
        <f t="shared" si="11"/>
        <v>68</v>
      </c>
      <c r="L265">
        <v>69</v>
      </c>
    </row>
    <row r="266" spans="11:12" x14ac:dyDescent="0.2">
      <c r="K266">
        <f t="shared" si="11"/>
        <v>69</v>
      </c>
      <c r="L266">
        <v>69</v>
      </c>
    </row>
    <row r="267" spans="11:12" x14ac:dyDescent="0.2">
      <c r="K267">
        <f t="shared" si="11"/>
        <v>70</v>
      </c>
      <c r="L267">
        <v>69</v>
      </c>
    </row>
    <row r="268" spans="11:12" x14ac:dyDescent="0.2">
      <c r="K268">
        <f t="shared" si="11"/>
        <v>71</v>
      </c>
      <c r="L268">
        <v>69</v>
      </c>
    </row>
    <row r="269" spans="11:12" x14ac:dyDescent="0.2">
      <c r="K269">
        <f t="shared" si="11"/>
        <v>72</v>
      </c>
      <c r="L269">
        <v>75</v>
      </c>
    </row>
    <row r="270" spans="11:12" x14ac:dyDescent="0.2">
      <c r="K270">
        <f t="shared" si="11"/>
        <v>73</v>
      </c>
      <c r="L270">
        <v>75</v>
      </c>
    </row>
    <row r="271" spans="11:12" x14ac:dyDescent="0.2">
      <c r="K271">
        <f t="shared" si="11"/>
        <v>74</v>
      </c>
      <c r="L271">
        <v>75</v>
      </c>
    </row>
    <row r="272" spans="11:12" x14ac:dyDescent="0.2">
      <c r="K272">
        <f t="shared" si="11"/>
        <v>75</v>
      </c>
      <c r="L272">
        <v>75</v>
      </c>
    </row>
    <row r="273" spans="11:12" x14ac:dyDescent="0.2">
      <c r="K273">
        <f t="shared" si="11"/>
        <v>76</v>
      </c>
      <c r="L273">
        <v>75</v>
      </c>
    </row>
    <row r="274" spans="11:12" x14ac:dyDescent="0.2">
      <c r="K274">
        <f t="shared" si="11"/>
        <v>77</v>
      </c>
      <c r="L274">
        <v>75</v>
      </c>
    </row>
    <row r="275" spans="11:12" x14ac:dyDescent="0.2">
      <c r="K275">
        <f t="shared" ref="K275:K338" si="12">K274+1</f>
        <v>78</v>
      </c>
      <c r="L275">
        <v>81</v>
      </c>
    </row>
    <row r="276" spans="11:12" x14ac:dyDescent="0.2">
      <c r="K276">
        <f t="shared" si="12"/>
        <v>79</v>
      </c>
      <c r="L276">
        <v>81</v>
      </c>
    </row>
    <row r="277" spans="11:12" x14ac:dyDescent="0.2">
      <c r="K277">
        <f t="shared" si="12"/>
        <v>80</v>
      </c>
      <c r="L277">
        <v>81</v>
      </c>
    </row>
    <row r="278" spans="11:12" x14ac:dyDescent="0.2">
      <c r="K278">
        <f t="shared" si="12"/>
        <v>81</v>
      </c>
      <c r="L278">
        <v>81</v>
      </c>
    </row>
    <row r="279" spans="11:12" x14ac:dyDescent="0.2">
      <c r="K279">
        <f t="shared" si="12"/>
        <v>82</v>
      </c>
      <c r="L279">
        <v>81</v>
      </c>
    </row>
    <row r="280" spans="11:12" x14ac:dyDescent="0.2">
      <c r="K280">
        <f t="shared" si="12"/>
        <v>83</v>
      </c>
      <c r="L280">
        <v>81</v>
      </c>
    </row>
    <row r="281" spans="11:12" x14ac:dyDescent="0.2">
      <c r="K281">
        <f t="shared" si="12"/>
        <v>84</v>
      </c>
      <c r="L281">
        <v>87</v>
      </c>
    </row>
    <row r="282" spans="11:12" x14ac:dyDescent="0.2">
      <c r="K282">
        <f t="shared" si="12"/>
        <v>85</v>
      </c>
      <c r="L282">
        <v>87</v>
      </c>
    </row>
    <row r="283" spans="11:12" x14ac:dyDescent="0.2">
      <c r="K283">
        <f t="shared" si="12"/>
        <v>86</v>
      </c>
      <c r="L283">
        <v>87</v>
      </c>
    </row>
    <row r="284" spans="11:12" x14ac:dyDescent="0.2">
      <c r="K284">
        <f t="shared" si="12"/>
        <v>87</v>
      </c>
      <c r="L284">
        <v>87</v>
      </c>
    </row>
    <row r="285" spans="11:12" x14ac:dyDescent="0.2">
      <c r="K285">
        <f t="shared" si="12"/>
        <v>88</v>
      </c>
      <c r="L285">
        <v>87</v>
      </c>
    </row>
    <row r="286" spans="11:12" x14ac:dyDescent="0.2">
      <c r="K286">
        <f t="shared" si="12"/>
        <v>89</v>
      </c>
      <c r="L286">
        <v>87</v>
      </c>
    </row>
    <row r="287" spans="11:12" x14ac:dyDescent="0.2">
      <c r="K287">
        <f t="shared" si="12"/>
        <v>90</v>
      </c>
      <c r="L287">
        <v>93</v>
      </c>
    </row>
    <row r="288" spans="11:12" x14ac:dyDescent="0.2">
      <c r="K288">
        <f t="shared" si="12"/>
        <v>91</v>
      </c>
      <c r="L288">
        <v>93</v>
      </c>
    </row>
    <row r="289" spans="11:12" x14ac:dyDescent="0.2">
      <c r="K289">
        <f t="shared" si="12"/>
        <v>92</v>
      </c>
      <c r="L289">
        <v>93</v>
      </c>
    </row>
    <row r="290" spans="11:12" x14ac:dyDescent="0.2">
      <c r="K290">
        <f t="shared" si="12"/>
        <v>93</v>
      </c>
      <c r="L290">
        <v>93</v>
      </c>
    </row>
    <row r="291" spans="11:12" x14ac:dyDescent="0.2">
      <c r="K291">
        <f t="shared" si="12"/>
        <v>94</v>
      </c>
      <c r="L291">
        <v>93</v>
      </c>
    </row>
    <row r="292" spans="11:12" x14ac:dyDescent="0.2">
      <c r="K292">
        <f t="shared" si="12"/>
        <v>95</v>
      </c>
      <c r="L292">
        <v>93</v>
      </c>
    </row>
    <row r="293" spans="11:12" x14ac:dyDescent="0.2">
      <c r="K293">
        <f t="shared" si="12"/>
        <v>96</v>
      </c>
      <c r="L293">
        <v>99</v>
      </c>
    </row>
    <row r="294" spans="11:12" x14ac:dyDescent="0.2">
      <c r="K294">
        <f t="shared" si="12"/>
        <v>97</v>
      </c>
      <c r="L294">
        <v>99</v>
      </c>
    </row>
    <row r="295" spans="11:12" x14ac:dyDescent="0.2">
      <c r="K295">
        <f t="shared" si="12"/>
        <v>98</v>
      </c>
      <c r="L295">
        <v>99</v>
      </c>
    </row>
    <row r="296" spans="11:12" x14ac:dyDescent="0.2">
      <c r="K296">
        <f t="shared" si="12"/>
        <v>99</v>
      </c>
      <c r="L296">
        <v>99</v>
      </c>
    </row>
    <row r="297" spans="11:12" x14ac:dyDescent="0.2">
      <c r="K297">
        <f t="shared" si="12"/>
        <v>100</v>
      </c>
      <c r="L297">
        <v>99</v>
      </c>
    </row>
    <row r="298" spans="11:12" x14ac:dyDescent="0.2">
      <c r="K298">
        <f t="shared" si="12"/>
        <v>101</v>
      </c>
      <c r="L298">
        <v>99</v>
      </c>
    </row>
    <row r="299" spans="11:12" x14ac:dyDescent="0.2">
      <c r="K299">
        <f t="shared" si="12"/>
        <v>102</v>
      </c>
      <c r="L299">
        <v>105</v>
      </c>
    </row>
    <row r="300" spans="11:12" x14ac:dyDescent="0.2">
      <c r="K300">
        <f t="shared" si="12"/>
        <v>103</v>
      </c>
      <c r="L300">
        <v>105</v>
      </c>
    </row>
    <row r="301" spans="11:12" x14ac:dyDescent="0.2">
      <c r="K301">
        <f t="shared" si="12"/>
        <v>104</v>
      </c>
      <c r="L301">
        <v>105</v>
      </c>
    </row>
    <row r="302" spans="11:12" x14ac:dyDescent="0.2">
      <c r="K302">
        <f t="shared" si="12"/>
        <v>105</v>
      </c>
      <c r="L302">
        <v>105</v>
      </c>
    </row>
    <row r="303" spans="11:12" x14ac:dyDescent="0.2">
      <c r="K303">
        <f t="shared" si="12"/>
        <v>106</v>
      </c>
      <c r="L303">
        <v>105</v>
      </c>
    </row>
    <row r="304" spans="11:12" x14ac:dyDescent="0.2">
      <c r="K304">
        <f t="shared" si="12"/>
        <v>107</v>
      </c>
      <c r="L304">
        <v>105</v>
      </c>
    </row>
    <row r="305" spans="11:12" x14ac:dyDescent="0.2">
      <c r="K305">
        <f t="shared" si="12"/>
        <v>108</v>
      </c>
      <c r="L305">
        <v>111</v>
      </c>
    </row>
    <row r="306" spans="11:12" x14ac:dyDescent="0.2">
      <c r="K306">
        <f t="shared" si="12"/>
        <v>109</v>
      </c>
      <c r="L306">
        <v>111</v>
      </c>
    </row>
    <row r="307" spans="11:12" x14ac:dyDescent="0.2">
      <c r="K307">
        <f t="shared" si="12"/>
        <v>110</v>
      </c>
      <c r="L307">
        <v>111</v>
      </c>
    </row>
    <row r="308" spans="11:12" x14ac:dyDescent="0.2">
      <c r="K308">
        <f t="shared" si="12"/>
        <v>111</v>
      </c>
      <c r="L308">
        <v>111</v>
      </c>
    </row>
    <row r="309" spans="11:12" x14ac:dyDescent="0.2">
      <c r="K309">
        <f t="shared" si="12"/>
        <v>112</v>
      </c>
      <c r="L309">
        <v>111</v>
      </c>
    </row>
    <row r="310" spans="11:12" x14ac:dyDescent="0.2">
      <c r="K310">
        <f t="shared" si="12"/>
        <v>113</v>
      </c>
      <c r="L310">
        <v>111</v>
      </c>
    </row>
    <row r="311" spans="11:12" x14ac:dyDescent="0.2">
      <c r="K311">
        <f t="shared" si="12"/>
        <v>114</v>
      </c>
      <c r="L311">
        <v>117</v>
      </c>
    </row>
    <row r="312" spans="11:12" x14ac:dyDescent="0.2">
      <c r="K312">
        <f t="shared" si="12"/>
        <v>115</v>
      </c>
      <c r="L312">
        <v>117</v>
      </c>
    </row>
    <row r="313" spans="11:12" x14ac:dyDescent="0.2">
      <c r="K313">
        <f t="shared" si="12"/>
        <v>116</v>
      </c>
      <c r="L313">
        <v>117</v>
      </c>
    </row>
    <row r="314" spans="11:12" x14ac:dyDescent="0.2">
      <c r="K314">
        <f t="shared" si="12"/>
        <v>117</v>
      </c>
      <c r="L314">
        <v>117</v>
      </c>
    </row>
    <row r="315" spans="11:12" x14ac:dyDescent="0.2">
      <c r="K315">
        <f t="shared" si="12"/>
        <v>118</v>
      </c>
      <c r="L315">
        <v>117</v>
      </c>
    </row>
    <row r="316" spans="11:12" x14ac:dyDescent="0.2">
      <c r="K316">
        <f t="shared" si="12"/>
        <v>119</v>
      </c>
      <c r="L316">
        <v>117</v>
      </c>
    </row>
    <row r="317" spans="11:12" x14ac:dyDescent="0.2">
      <c r="K317">
        <f t="shared" si="12"/>
        <v>120</v>
      </c>
      <c r="L317">
        <v>123</v>
      </c>
    </row>
    <row r="318" spans="11:12" x14ac:dyDescent="0.2">
      <c r="K318">
        <f t="shared" si="12"/>
        <v>121</v>
      </c>
      <c r="L318">
        <v>123</v>
      </c>
    </row>
    <row r="319" spans="11:12" x14ac:dyDescent="0.2">
      <c r="K319">
        <f t="shared" si="12"/>
        <v>122</v>
      </c>
      <c r="L319">
        <v>123</v>
      </c>
    </row>
    <row r="320" spans="11:12" x14ac:dyDescent="0.2">
      <c r="K320">
        <f t="shared" si="12"/>
        <v>123</v>
      </c>
      <c r="L320">
        <v>123</v>
      </c>
    </row>
    <row r="321" spans="11:12" x14ac:dyDescent="0.2">
      <c r="K321">
        <f t="shared" si="12"/>
        <v>124</v>
      </c>
      <c r="L321">
        <v>123</v>
      </c>
    </row>
    <row r="322" spans="11:12" x14ac:dyDescent="0.2">
      <c r="K322">
        <f t="shared" si="12"/>
        <v>125</v>
      </c>
      <c r="L322">
        <v>123</v>
      </c>
    </row>
    <row r="323" spans="11:12" x14ac:dyDescent="0.2">
      <c r="K323">
        <f t="shared" si="12"/>
        <v>126</v>
      </c>
      <c r="L323">
        <v>129</v>
      </c>
    </row>
    <row r="324" spans="11:12" x14ac:dyDescent="0.2">
      <c r="K324">
        <f t="shared" si="12"/>
        <v>127</v>
      </c>
      <c r="L324">
        <v>129</v>
      </c>
    </row>
    <row r="325" spans="11:12" x14ac:dyDescent="0.2">
      <c r="K325">
        <f t="shared" si="12"/>
        <v>128</v>
      </c>
      <c r="L325">
        <v>129</v>
      </c>
    </row>
    <row r="326" spans="11:12" x14ac:dyDescent="0.2">
      <c r="K326">
        <f t="shared" si="12"/>
        <v>129</v>
      </c>
      <c r="L326">
        <v>129</v>
      </c>
    </row>
    <row r="327" spans="11:12" x14ac:dyDescent="0.2">
      <c r="K327">
        <f t="shared" si="12"/>
        <v>130</v>
      </c>
      <c r="L327">
        <v>129</v>
      </c>
    </row>
    <row r="328" spans="11:12" x14ac:dyDescent="0.2">
      <c r="K328">
        <f t="shared" si="12"/>
        <v>131</v>
      </c>
      <c r="L328">
        <v>129</v>
      </c>
    </row>
    <row r="329" spans="11:12" x14ac:dyDescent="0.2">
      <c r="K329">
        <f t="shared" si="12"/>
        <v>132</v>
      </c>
      <c r="L329">
        <v>135</v>
      </c>
    </row>
    <row r="330" spans="11:12" x14ac:dyDescent="0.2">
      <c r="K330">
        <f t="shared" si="12"/>
        <v>133</v>
      </c>
      <c r="L330">
        <v>135</v>
      </c>
    </row>
    <row r="331" spans="11:12" x14ac:dyDescent="0.2">
      <c r="K331">
        <f t="shared" si="12"/>
        <v>134</v>
      </c>
      <c r="L331">
        <v>135</v>
      </c>
    </row>
    <row r="332" spans="11:12" x14ac:dyDescent="0.2">
      <c r="K332">
        <f t="shared" si="12"/>
        <v>135</v>
      </c>
      <c r="L332">
        <v>135</v>
      </c>
    </row>
    <row r="333" spans="11:12" x14ac:dyDescent="0.2">
      <c r="K333">
        <f t="shared" si="12"/>
        <v>136</v>
      </c>
      <c r="L333">
        <v>135</v>
      </c>
    </row>
    <row r="334" spans="11:12" x14ac:dyDescent="0.2">
      <c r="K334">
        <f t="shared" si="12"/>
        <v>137</v>
      </c>
      <c r="L334">
        <v>135</v>
      </c>
    </row>
    <row r="335" spans="11:12" x14ac:dyDescent="0.2">
      <c r="K335">
        <f t="shared" si="12"/>
        <v>138</v>
      </c>
      <c r="L335">
        <v>141</v>
      </c>
    </row>
    <row r="336" spans="11:12" x14ac:dyDescent="0.2">
      <c r="K336">
        <f t="shared" si="12"/>
        <v>139</v>
      </c>
      <c r="L336">
        <v>141</v>
      </c>
    </row>
    <row r="337" spans="11:12" x14ac:dyDescent="0.2">
      <c r="K337">
        <f t="shared" si="12"/>
        <v>140</v>
      </c>
      <c r="L337">
        <v>141</v>
      </c>
    </row>
    <row r="338" spans="11:12" x14ac:dyDescent="0.2">
      <c r="K338">
        <f t="shared" si="12"/>
        <v>141</v>
      </c>
      <c r="L338">
        <v>141</v>
      </c>
    </row>
    <row r="339" spans="11:12" x14ac:dyDescent="0.2">
      <c r="K339">
        <f t="shared" ref="K339:K376" si="13">K338+1</f>
        <v>142</v>
      </c>
      <c r="L339">
        <v>141</v>
      </c>
    </row>
    <row r="340" spans="11:12" x14ac:dyDescent="0.2">
      <c r="K340">
        <f t="shared" si="13"/>
        <v>143</v>
      </c>
      <c r="L340">
        <v>141</v>
      </c>
    </row>
    <row r="341" spans="11:12" x14ac:dyDescent="0.2">
      <c r="K341">
        <f t="shared" si="13"/>
        <v>144</v>
      </c>
      <c r="L341">
        <v>147</v>
      </c>
    </row>
    <row r="342" spans="11:12" x14ac:dyDescent="0.2">
      <c r="K342">
        <f t="shared" si="13"/>
        <v>145</v>
      </c>
      <c r="L342">
        <v>147</v>
      </c>
    </row>
    <row r="343" spans="11:12" x14ac:dyDescent="0.2">
      <c r="K343">
        <f t="shared" si="13"/>
        <v>146</v>
      </c>
      <c r="L343">
        <v>147</v>
      </c>
    </row>
    <row r="344" spans="11:12" x14ac:dyDescent="0.2">
      <c r="K344">
        <f t="shared" si="13"/>
        <v>147</v>
      </c>
      <c r="L344">
        <v>147</v>
      </c>
    </row>
    <row r="345" spans="11:12" x14ac:dyDescent="0.2">
      <c r="K345">
        <f t="shared" si="13"/>
        <v>148</v>
      </c>
      <c r="L345">
        <v>147</v>
      </c>
    </row>
    <row r="346" spans="11:12" x14ac:dyDescent="0.2">
      <c r="K346">
        <f t="shared" si="13"/>
        <v>149</v>
      </c>
      <c r="L346">
        <v>147</v>
      </c>
    </row>
    <row r="347" spans="11:12" x14ac:dyDescent="0.2">
      <c r="K347">
        <f t="shared" si="13"/>
        <v>150</v>
      </c>
      <c r="L347">
        <v>153</v>
      </c>
    </row>
    <row r="348" spans="11:12" x14ac:dyDescent="0.2">
      <c r="K348">
        <f t="shared" si="13"/>
        <v>151</v>
      </c>
      <c r="L348">
        <v>153</v>
      </c>
    </row>
    <row r="349" spans="11:12" x14ac:dyDescent="0.2">
      <c r="K349">
        <f t="shared" si="13"/>
        <v>152</v>
      </c>
      <c r="L349">
        <v>153</v>
      </c>
    </row>
    <row r="350" spans="11:12" x14ac:dyDescent="0.2">
      <c r="K350">
        <f t="shared" si="13"/>
        <v>153</v>
      </c>
      <c r="L350">
        <v>153</v>
      </c>
    </row>
    <row r="351" spans="11:12" x14ac:dyDescent="0.2">
      <c r="K351">
        <f t="shared" si="13"/>
        <v>154</v>
      </c>
      <c r="L351">
        <v>153</v>
      </c>
    </row>
    <row r="352" spans="11:12" x14ac:dyDescent="0.2">
      <c r="K352">
        <f t="shared" si="13"/>
        <v>155</v>
      </c>
      <c r="L352">
        <v>153</v>
      </c>
    </row>
    <row r="353" spans="11:12" x14ac:dyDescent="0.2">
      <c r="K353">
        <f t="shared" si="13"/>
        <v>156</v>
      </c>
      <c r="L353">
        <v>159</v>
      </c>
    </row>
    <row r="354" spans="11:12" x14ac:dyDescent="0.2">
      <c r="K354">
        <f t="shared" si="13"/>
        <v>157</v>
      </c>
      <c r="L354">
        <v>159</v>
      </c>
    </row>
    <row r="355" spans="11:12" x14ac:dyDescent="0.2">
      <c r="K355">
        <f t="shared" si="13"/>
        <v>158</v>
      </c>
      <c r="L355">
        <v>159</v>
      </c>
    </row>
    <row r="356" spans="11:12" x14ac:dyDescent="0.2">
      <c r="K356">
        <f t="shared" si="13"/>
        <v>159</v>
      </c>
      <c r="L356">
        <v>159</v>
      </c>
    </row>
    <row r="357" spans="11:12" x14ac:dyDescent="0.2">
      <c r="K357">
        <f t="shared" si="13"/>
        <v>160</v>
      </c>
      <c r="L357">
        <v>159</v>
      </c>
    </row>
    <row r="358" spans="11:12" x14ac:dyDescent="0.2">
      <c r="K358">
        <f t="shared" si="13"/>
        <v>161</v>
      </c>
      <c r="L358">
        <v>159</v>
      </c>
    </row>
    <row r="359" spans="11:12" x14ac:dyDescent="0.2">
      <c r="K359">
        <f t="shared" si="13"/>
        <v>162</v>
      </c>
      <c r="L359">
        <v>165</v>
      </c>
    </row>
    <row r="360" spans="11:12" x14ac:dyDescent="0.2">
      <c r="K360">
        <f t="shared" si="13"/>
        <v>163</v>
      </c>
      <c r="L360">
        <v>165</v>
      </c>
    </row>
    <row r="361" spans="11:12" x14ac:dyDescent="0.2">
      <c r="K361">
        <f t="shared" si="13"/>
        <v>164</v>
      </c>
      <c r="L361">
        <v>165</v>
      </c>
    </row>
    <row r="362" spans="11:12" x14ac:dyDescent="0.2">
      <c r="K362">
        <f t="shared" si="13"/>
        <v>165</v>
      </c>
      <c r="L362">
        <v>165</v>
      </c>
    </row>
    <row r="363" spans="11:12" x14ac:dyDescent="0.2">
      <c r="K363">
        <f t="shared" si="13"/>
        <v>166</v>
      </c>
      <c r="L363">
        <v>165</v>
      </c>
    </row>
    <row r="364" spans="11:12" x14ac:dyDescent="0.2">
      <c r="K364">
        <f t="shared" si="13"/>
        <v>167</v>
      </c>
      <c r="L364">
        <v>165</v>
      </c>
    </row>
    <row r="365" spans="11:12" x14ac:dyDescent="0.2">
      <c r="K365">
        <f t="shared" si="13"/>
        <v>168</v>
      </c>
      <c r="L365">
        <v>171</v>
      </c>
    </row>
    <row r="366" spans="11:12" x14ac:dyDescent="0.2">
      <c r="K366">
        <f t="shared" si="13"/>
        <v>169</v>
      </c>
      <c r="L366">
        <v>171</v>
      </c>
    </row>
    <row r="367" spans="11:12" x14ac:dyDescent="0.2">
      <c r="K367">
        <f t="shared" si="13"/>
        <v>170</v>
      </c>
      <c r="L367">
        <v>171</v>
      </c>
    </row>
    <row r="368" spans="11:12" x14ac:dyDescent="0.2">
      <c r="K368">
        <f t="shared" si="13"/>
        <v>171</v>
      </c>
      <c r="L368">
        <v>171</v>
      </c>
    </row>
    <row r="369" spans="11:12" x14ac:dyDescent="0.2">
      <c r="K369">
        <f t="shared" si="13"/>
        <v>172</v>
      </c>
      <c r="L369">
        <v>171</v>
      </c>
    </row>
    <row r="370" spans="11:12" x14ac:dyDescent="0.2">
      <c r="K370">
        <f t="shared" si="13"/>
        <v>173</v>
      </c>
      <c r="L370">
        <v>171</v>
      </c>
    </row>
    <row r="371" spans="11:12" x14ac:dyDescent="0.2">
      <c r="K371">
        <f t="shared" si="13"/>
        <v>174</v>
      </c>
      <c r="L371">
        <v>177</v>
      </c>
    </row>
    <row r="372" spans="11:12" x14ac:dyDescent="0.2">
      <c r="K372">
        <f t="shared" si="13"/>
        <v>175</v>
      </c>
      <c r="L372">
        <v>177</v>
      </c>
    </row>
    <row r="373" spans="11:12" x14ac:dyDescent="0.2">
      <c r="K373">
        <f t="shared" si="13"/>
        <v>176</v>
      </c>
      <c r="L373">
        <v>177</v>
      </c>
    </row>
    <row r="374" spans="11:12" x14ac:dyDescent="0.2">
      <c r="K374">
        <f t="shared" si="13"/>
        <v>177</v>
      </c>
      <c r="L374">
        <v>177</v>
      </c>
    </row>
    <row r="375" spans="11:12" x14ac:dyDescent="0.2">
      <c r="K375">
        <f t="shared" si="13"/>
        <v>178</v>
      </c>
      <c r="L375">
        <v>177</v>
      </c>
    </row>
    <row r="376" spans="11:12" x14ac:dyDescent="0.2">
      <c r="K376">
        <f t="shared" si="13"/>
        <v>179</v>
      </c>
      <c r="L376">
        <v>177</v>
      </c>
    </row>
  </sheetData>
  <phoneticPr fontId="10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14</vt:i4>
      </vt:variant>
    </vt:vector>
  </HeadingPairs>
  <TitlesOfParts>
    <vt:vector size="23" baseType="lpstr">
      <vt:lpstr>GrCircle</vt:lpstr>
      <vt:lpstr>to UTM</vt:lpstr>
      <vt:lpstr>from UTM</vt:lpstr>
      <vt:lpstr>Error</vt:lpstr>
      <vt:lpstr>DMS-DD</vt:lpstr>
      <vt:lpstr>Projections</vt:lpstr>
      <vt:lpstr>Sun</vt:lpstr>
      <vt:lpstr>BulkProjections</vt:lpstr>
      <vt:lpstr>Constants</vt:lpstr>
      <vt:lpstr>a</vt:lpstr>
      <vt:lpstr>b</vt:lpstr>
      <vt:lpstr>e</vt:lpstr>
      <vt:lpstr>e_sqrt</vt:lpstr>
      <vt:lpstr>eone</vt:lpstr>
      <vt:lpstr>ep</vt:lpstr>
      <vt:lpstr>eprime</vt:lpstr>
      <vt:lpstr>f</vt:lpstr>
      <vt:lpstr>FE</vt:lpstr>
      <vt:lpstr>FN</vt:lpstr>
      <vt:lpstr>k</vt:lpstr>
      <vt:lpstr>lat</vt:lpstr>
      <vt:lpstr>lat_DD</vt:lpstr>
      <vt:lpstr>lng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 Hartnell</dc:creator>
  <cp:keywords/>
  <dc:description/>
  <cp:lastModifiedBy>Andrew Sargeant</cp:lastModifiedBy>
  <cp:revision/>
  <dcterms:created xsi:type="dcterms:W3CDTF">1998-10-02T01:35:13Z</dcterms:created>
  <dcterms:modified xsi:type="dcterms:W3CDTF">2026-08-13T21:54:13Z</dcterms:modified>
  <cp:category/>
  <cp:contentStatus/>
</cp:coreProperties>
</file>